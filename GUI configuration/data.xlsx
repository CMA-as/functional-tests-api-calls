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16125" windowWidth="29040" windowHeight="15720" tabRatio="600" firstSheet="3" activeTab="2" autoFilterDateGrouping="1"/>
  </bookViews>
  <sheets>
    <sheet xmlns:r="http://schemas.openxmlformats.org/officeDocument/2006/relationships" name="1. Creation of Rules-Workflows" sheetId="1" state="visible" r:id="rId1"/>
    <sheet xmlns:r="http://schemas.openxmlformats.org/officeDocument/2006/relationships" name="2. Creation of &quot;profiles&quot;" sheetId="2" state="visible" r:id="rId2"/>
    <sheet xmlns:r="http://schemas.openxmlformats.org/officeDocument/2006/relationships" name="3. Link of &quot;Profiles&quot; to beds" sheetId="3" state="visible" r:id="rId3"/>
    <sheet xmlns:r="http://schemas.openxmlformats.org/officeDocument/2006/relationships" name="Overview Processing vs Beds" sheetId="4" state="visible" r:id="rId4"/>
    <sheet xmlns:r="http://schemas.openxmlformats.org/officeDocument/2006/relationships" name="Overview Filtering vs Beds" sheetId="5" state="visible" r:id="rId5"/>
    <sheet xmlns:r="http://schemas.openxmlformats.org/officeDocument/2006/relationships" name="Example configuration" sheetId="6" state="visible" r:id="rId6"/>
  </sheets>
  <definedNames>
    <definedName name="_xlnm._FilterDatabase" localSheetId="1" hidden="1">'2. Creation of "profiles"'!$A$1:$F$21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2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2" fillId="2" borderId="5" pivotButton="0" quotePrefix="0" xfId="0"/>
    <xf numFmtId="0" fontId="2" fillId="2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0" borderId="4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/>
    </xf>
    <xf numFmtId="0" fontId="0" fillId="0" borderId="6" pivotButton="0" quotePrefix="0" xfId="0"/>
    <xf numFmtId="0" fontId="2" fillId="2" borderId="6" pivotButton="0" quotePrefix="0" xfId="0"/>
    <xf numFmtId="0" fontId="0" fillId="0" borderId="7" pivotButton="0" quotePrefix="0" xfId="0"/>
    <xf numFmtId="0" fontId="2" fillId="2" borderId="6" applyAlignment="1" pivotButton="0" quotePrefix="0" xfId="0">
      <alignment horizontal="left"/>
    </xf>
    <xf numFmtId="0" fontId="2" fillId="2" borderId="6" applyAlignment="1" pivotButton="0" quotePrefix="0" xfId="0">
      <alignment horizontal="left" wrapText="1"/>
    </xf>
    <xf numFmtId="0" fontId="2" fillId="2" borderId="6" applyAlignment="1" pivotButton="0" quotePrefix="0" xfId="0">
      <alignment wrapText="1"/>
    </xf>
    <xf numFmtId="0" fontId="0" fillId="0" borderId="8" pivotButton="0" quotePrefix="0" xfId="0"/>
    <xf numFmtId="0" fontId="0" fillId="0" borderId="9" pivotButton="0" quotePrefix="0" xfId="0"/>
    <xf numFmtId="0" fontId="2" fillId="2" borderId="8" applyAlignment="1" pivotButton="0" quotePrefix="0" xfId="0">
      <alignment horizontal="left"/>
    </xf>
    <xf numFmtId="0" fontId="0" fillId="0" borderId="10" pivotButton="0" quotePrefix="0" xfId="0"/>
    <xf numFmtId="0" fontId="0" fillId="0" borderId="11" pivotButton="0" quotePrefix="0" xfId="0"/>
    <xf numFmtId="0" fontId="2" fillId="2" borderId="11" applyAlignment="1" pivotButton="0" quotePrefix="0" xfId="0">
      <alignment horizontal="left"/>
    </xf>
    <xf numFmtId="0" fontId="2" fillId="2" borderId="9" pivotButton="0" quotePrefix="0" xfId="0"/>
    <xf numFmtId="0" fontId="0" fillId="0" borderId="9" applyAlignment="1" pivotButton="0" quotePrefix="0" xfId="0">
      <alignment vertical="top" wrapText="1"/>
    </xf>
    <xf numFmtId="0" fontId="2" fillId="2" borderId="11" pivotButton="0" quotePrefix="0" xfId="0"/>
    <xf numFmtId="0" fontId="2" fillId="2" borderId="3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3" fillId="0" borderId="15" applyAlignment="1" pivotButton="0" quotePrefix="0" xfId="0">
      <alignment horizontal="center" vertical="top"/>
    </xf>
    <xf numFmtId="0" fontId="2" fillId="2" borderId="12" applyAlignment="1" pivotButton="0" quotePrefix="0" xfId="0">
      <alignment horizontal="center"/>
    </xf>
  </cellXfs>
  <cellStyles count="2">
    <cellStyle name="Normal" xfId="0" builtinId="0"/>
    <cellStyle name="Hyperlink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tc={EAD8A6E3-B974-4CF9-BE96-9C9586E2D9A3}</author>
  </authors>
  <commentList>
    <comment ref="P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potential improvement: exclude the attributes that we don't need in the script</t>
      </text>
    </comment>
  </commentList>
</comments>
</file>

<file path=xl/comments/comment2.xml><?xml version="1.0" encoding="utf-8"?>
<comments xmlns="http://schemas.openxmlformats.org/spreadsheetml/2006/main">
  <authors>
    <author>tc={B346C47C-65C4-4F56-A1B8-18210AF868DE}</author>
    <author>tc={02143AED-A936-4DA0-B94D-9C79B7FD56E9}</author>
    <author>tc={11B5718E-2669-40D1-9171-BC9555F97B74}</author>
    <author>tc={CF82C887-6585-4DA0-B945-6C7E03DD87EB}</author>
    <author>tc={F8F2E5CB-FC1C-4880-A0E7-18AC78968DD5}</author>
    <author>tc={0E4C7508-8A1A-4071-85C7-C3E8DA843A7C}</author>
    <author>tc={8758B886-6145-4EA1-B008-F20E49B5C0BC}</author>
    <author>tc={F02A8E49-88A6-4715-8942-D9569353763C}</author>
  </authors>
  <commentList>
    <comment ref="D5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on this bed</t>
      </text>
    </comment>
    <comment ref="F5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100 SpO2 (or 98 if you prefer) as no COPD aspect on bed 3</t>
      </text>
    </comment>
    <comment ref="J5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100 SpO2 (or 98 if you prefer) as no COPD aspect on bed 5</t>
      </text>
    </comment>
    <comment ref="F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MEWS score 5
Reply:
    No threshold for attributes?
Reply:
    In my opinion, we can leave them out to be able to test the case of general high MEWS, MEWS for pneumonia and MEWS for heart failure (the other two are in bed 7 and 8). But let me know your thoughts :)
Reply:
    As I assume that the script will still ask you for them, put a terribly high number for the attributes so that they don't trigger the pneumonia and heart failure cases
Reply:
    Yes, i now did 0 so now they are constanlty triggered. So i need to update the rule</t>
      </text>
    </comment>
    <comment ref="J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 this patient it is important to monitor heart failure. For this reason, MEWS: 5, HR,RR,BP attr: 2</t>
      </text>
    </comment>
    <comment ref="F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function for bed 6 etc.</t>
      </text>
    </comment>
    <comment ref="H1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is COPD, therefore 90 SpO2 threshold</t>
      </text>
    </comment>
    <comment ref="H12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 this patient it is important to be warned about the development of VAP. For that reason: MEWS 5, HR, RR, Temp attributes: 2</t>
      </text>
    </comment>
  </commentList>
</comments>
</file>

<file path=xl/comments/comment3.xml><?xml version="1.0" encoding="utf-8"?>
<comments xmlns="http://schemas.openxmlformats.org/spreadsheetml/2006/main">
  <authors>
    <author>tc={BB548EEA-07CF-4E19-89A2-06BDC8204CDB}</author>
    <author>tc={686AEA5A-DF6D-470A-9D78-CAC9E785CA60}</author>
    <author>tc={88600C7D-1D4B-4B6E-AAF9-1C58AD054184}</author>
    <author>tc={71B7AD23-849C-4368-BB23-F3C5F7710563}</author>
    <author>tc={AE48E3A4-467F-4962-AC16-23B3F755998C}</author>
    <author>tc={20117955-211E-4C28-84FA-C6467D393497}</author>
    <author>tc={766412C2-5D0A-4DE9-A1E0-A01823F1C9AB}</author>
    <author>tc={3308AAF8-BF70-4BFB-AEC7-5951B5345041}</author>
    <author>tc={24327621-D397-448C-BFE1-DBF10E5D8802}</author>
    <author>tc={2B6D1DED-7A5C-4FA2-AC72-2D127D6C0D78}</author>
    <author>tc={BBFB415A-21A3-4902-A097-BD2650C36D63}</author>
    <author>tc={6C750936-1DE5-472F-8D50-27312D046F53}</author>
    <author>tc={D15CA820-B07A-4B8E-92E8-B8623672C4D1}</author>
    <author>tc={852F49F7-EDA2-423B-9E75-96E7FF70E4B1}</author>
  </authors>
  <commentList>
    <comment ref="C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adding the field associated to the rule for easy research</t>
      </text>
    </comment>
    <comment ref="D6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Trigger of the workflow: HR High alarm 
Delay the alarm for 75 seconds 
During the delay  
If (Param 3001) &gt; 100  
THEN send out the alarm immediately </t>
      </text>
    </comment>
    <comment ref="E6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adding the field associated to the rule for easy research</t>
      </text>
    </comment>
    <comment ref="F6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Trigger of the workflow: Asystole alarm OR VF Alarm 
Delay alarm for 30 seconds 
During the delay 
IF ((Param 2001) &gt; 120 OR (Param 2001) &lt; 40) OR  
((Param 3029) &gt; 140 OR (Param 3029) &lt; 60)  
THEN Send out alarm immediately </t>
      </text>
    </comment>
    <comment ref="G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adding the field associated to the rule for easy research</t>
      </text>
    </comment>
    <comment ref="I6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adding the field associated to the rule for easy research</t>
      </text>
    </comment>
    <comment ref="K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adding the field associated to the rule for easy research</t>
      </text>
    </comment>
    <comment ref="L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 bed location in activity</t>
      </text>
    </comment>
    <comment ref="M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adding the field associated to the rule for easy research</t>
      </text>
    </comment>
    <comment ref="N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 location in workflow</t>
      </text>
    </comment>
    <comment ref="F7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Regular patient</t>
      </text>
    </comment>
    <comment ref="H7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COPD patient, add location in Unite workflow
Reply:
    Not possible</t>
      </text>
    </comment>
    <comment ref="J7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Regular patient add bed location in workflow</t>
      </text>
    </comment>
    <comment ref="F8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value for this bed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C7" sqref="C7"/>
    </sheetView>
  </sheetViews>
  <sheetFormatPr baseColWidth="8" defaultRowHeight="14.45"/>
  <cols>
    <col width="18.28515625" customWidth="1" min="1" max="1"/>
    <col width="35.28515625" customWidth="1" min="2" max="2"/>
    <col width="18.28515625" customWidth="1" min="3" max="3"/>
    <col width="56" customWidth="1" min="5" max="5"/>
    <col width="18.42578125" customWidth="1" min="6" max="6"/>
    <col width="11" customWidth="1" style="1" min="7" max="20"/>
  </cols>
  <sheetData>
    <row r="1" ht="72.75" customFormat="1" customHeight="1" s="6">
      <c r="A1" s="4" t="inlineStr">
        <is>
          <t>snowmed CT code</t>
        </is>
      </c>
      <c r="B1" s="4" t="inlineStr">
        <is>
          <t>snowmed CT Preferred name</t>
        </is>
      </c>
      <c r="C1" s="4" t="inlineStr">
        <is>
          <t>Fields</t>
        </is>
      </c>
      <c r="D1" s="4" t="n"/>
      <c r="E1" s="4" t="inlineStr">
        <is>
          <t>Rule/Workflow</t>
        </is>
      </c>
      <c r="F1" s="4" t="inlineStr">
        <is>
          <t>Processing/Filtering</t>
        </is>
      </c>
      <c r="G1" s="5" t="inlineStr">
        <is>
          <t>low SpO2 threshold</t>
        </is>
      </c>
      <c r="H1" s="5" t="inlineStr">
        <is>
          <t>low SpO2 riemann integral threshold</t>
        </is>
      </c>
      <c r="I1" s="5" t="inlineStr">
        <is>
          <t>low HR threshold</t>
        </is>
      </c>
      <c r="J1" s="5" t="inlineStr">
        <is>
          <t>high HR threshold</t>
        </is>
      </c>
      <c r="K1" s="5" t="inlineStr">
        <is>
          <t>low ABP threshold</t>
        </is>
      </c>
      <c r="L1" s="5" t="inlineStr">
        <is>
          <t>high ABP threshold</t>
        </is>
      </c>
      <c r="M1" s="5" t="inlineStr">
        <is>
          <t>low average ABP threshold</t>
        </is>
      </c>
      <c r="N1" s="5" t="inlineStr">
        <is>
          <t>low average ABP threshold</t>
        </is>
      </c>
      <c r="O1" s="5" t="inlineStr">
        <is>
          <t>high MEWS score threshold</t>
        </is>
      </c>
      <c r="P1" s="5" t="inlineStr">
        <is>
          <t>high HR MEWS attribute threshold</t>
        </is>
      </c>
      <c r="Q1" s="5" t="inlineStr">
        <is>
          <t>high RR MEWS attribute threshold</t>
        </is>
      </c>
      <c r="R1" s="5" t="inlineStr">
        <is>
          <t>high Temp MEWS attribute threshold</t>
        </is>
      </c>
      <c r="S1" s="5" t="inlineStr">
        <is>
          <t>high SpO2 MEWS attribute threshold</t>
        </is>
      </c>
      <c r="T1" s="5" t="inlineStr">
        <is>
          <t>high BP MEWS attribute threshold</t>
        </is>
      </c>
    </row>
    <row r="2" ht="15" customHeight="1">
      <c r="A2" t="n">
        <v>405269005</v>
      </c>
      <c r="B2" t="inlineStr">
        <is>
          <t>Neonatal intensive care unit</t>
        </is>
      </c>
      <c r="C2" t="inlineStr">
        <is>
          <t>Ward</t>
        </is>
      </c>
      <c r="E2" t="inlineStr">
        <is>
          <t>EX-C3-9 : filtering out non-actionable low SpO2 dips</t>
        </is>
      </c>
      <c r="F2" t="inlineStr">
        <is>
          <t>Filtering</t>
        </is>
      </c>
      <c r="G2" s="1" t="n">
        <v>98</v>
      </c>
    </row>
    <row r="3" ht="15" customHeight="1">
      <c r="A3" t="n">
        <v>405269006</v>
      </c>
      <c r="B3" t="inlineStr">
        <is>
          <t>Neonatal intensive care unit</t>
        </is>
      </c>
      <c r="C3" t="inlineStr">
        <is>
          <t>Ward</t>
        </is>
      </c>
      <c r="E3" t="inlineStr">
        <is>
          <t>EX-C3-9 : advisory for low SpO2 dips</t>
        </is>
      </c>
      <c r="F3" t="inlineStr">
        <is>
          <t>Processing</t>
        </is>
      </c>
      <c r="H3" s="1" t="n">
        <v>20</v>
      </c>
    </row>
    <row r="4">
      <c r="A4" t="n">
        <v>84114007</v>
      </c>
      <c r="B4" t="inlineStr">
        <is>
          <t>Heart failure</t>
        </is>
      </c>
      <c r="C4" t="inlineStr">
        <is>
          <t>Admission reason</t>
        </is>
      </c>
      <c r="E4" t="inlineStr">
        <is>
          <t>EX-C3-1 : advisory deterioration based on MEWS score</t>
        </is>
      </c>
      <c r="F4" t="inlineStr">
        <is>
          <t>Processing</t>
        </is>
      </c>
      <c r="O4" s="1" t="n">
        <v>5</v>
      </c>
      <c r="P4" s="1" t="n">
        <v>2</v>
      </c>
      <c r="Q4" s="1" t="n">
        <v>2</v>
      </c>
      <c r="R4" s="1" t="n">
        <v>10</v>
      </c>
      <c r="S4" s="1" t="n">
        <v>10</v>
      </c>
      <c r="T4" s="1" t="n">
        <v>2</v>
      </c>
    </row>
    <row r="5">
      <c r="A5" t="n">
        <v>84114008</v>
      </c>
      <c r="B5" t="inlineStr">
        <is>
          <t>Heart failure</t>
        </is>
      </c>
      <c r="C5" t="inlineStr">
        <is>
          <t>Active conditions</t>
        </is>
      </c>
      <c r="E5" t="inlineStr">
        <is>
          <t>EX-C3-1 : advisory deterioration based on MEWS score</t>
        </is>
      </c>
      <c r="F5" t="inlineStr">
        <is>
          <t>Processing</t>
        </is>
      </c>
      <c r="O5" s="1" t="n">
        <v>5</v>
      </c>
      <c r="P5" s="1" t="n">
        <v>2</v>
      </c>
      <c r="Q5" s="1" t="n">
        <v>2</v>
      </c>
      <c r="R5" s="1" t="n">
        <v>10</v>
      </c>
      <c r="S5" s="1" t="n">
        <v>10</v>
      </c>
      <c r="T5" s="1" t="n">
        <v>2</v>
      </c>
    </row>
    <row r="6">
      <c r="A6" t="n">
        <v>84114009</v>
      </c>
      <c r="B6" t="inlineStr">
        <is>
          <t>Heart failure</t>
        </is>
      </c>
      <c r="C6" t="inlineStr">
        <is>
          <t>Comorbidities</t>
        </is>
      </c>
      <c r="E6" t="inlineStr">
        <is>
          <t>EX-C3-1 : advisory deterioration based on MEWS score</t>
        </is>
      </c>
      <c r="F6" t="inlineStr">
        <is>
          <t>Processing</t>
        </is>
      </c>
      <c r="O6" s="1" t="n">
        <v>5</v>
      </c>
      <c r="P6" s="1" t="n">
        <v>2</v>
      </c>
      <c r="Q6" s="1" t="n">
        <v>2</v>
      </c>
      <c r="R6" s="1" t="n">
        <v>10</v>
      </c>
      <c r="S6" s="1" t="n">
        <v>10</v>
      </c>
      <c r="T6" s="1" t="n">
        <v>2</v>
      </c>
    </row>
    <row r="7">
      <c r="A7" t="n">
        <v>84114010</v>
      </c>
      <c r="B7" t="inlineStr">
        <is>
          <t>Heart failure</t>
        </is>
      </c>
      <c r="C7" t="inlineStr">
        <is>
          <t>Predicted risks</t>
        </is>
      </c>
      <c r="E7" t="inlineStr">
        <is>
          <t>EX-C3-1 : advisory deterioration based on MEWS score</t>
        </is>
      </c>
      <c r="F7" t="inlineStr">
        <is>
          <t>Processing</t>
        </is>
      </c>
      <c r="O7" s="1" t="n">
        <v>5</v>
      </c>
      <c r="P7" s="1" t="n">
        <v>2</v>
      </c>
      <c r="Q7" s="1" t="n">
        <v>2</v>
      </c>
      <c r="R7" s="1" t="n">
        <v>10</v>
      </c>
      <c r="S7" s="1" t="n">
        <v>10</v>
      </c>
      <c r="T7" s="1" t="n">
        <v>2</v>
      </c>
    </row>
    <row r="8" ht="15" customHeight="1">
      <c r="A8" t="n">
        <v>13645005</v>
      </c>
      <c r="B8" t="inlineStr">
        <is>
          <t>Chronic obstructive pulmonary disease</t>
        </is>
      </c>
      <c r="C8" t="inlineStr">
        <is>
          <t>Active conditions</t>
        </is>
      </c>
      <c r="E8" t="inlineStr">
        <is>
          <t>EX-C2-7-1: filtering out non-actionable low SpO2 alarms</t>
        </is>
      </c>
      <c r="F8" t="inlineStr">
        <is>
          <t>Filtering</t>
        </is>
      </c>
      <c r="G8" s="1" t="n">
        <v>90</v>
      </c>
    </row>
    <row r="9" ht="15" customHeight="1">
      <c r="A9" t="n">
        <v>13645006</v>
      </c>
      <c r="B9" t="inlineStr">
        <is>
          <t>Chronic obstructive pulmonary disease</t>
        </is>
      </c>
      <c r="C9" t="inlineStr">
        <is>
          <t>Active conditions</t>
        </is>
      </c>
      <c r="E9" t="inlineStr">
        <is>
          <t>EX-C2-7-2: advisory low SpO2</t>
        </is>
      </c>
      <c r="F9" t="inlineStr">
        <is>
          <t>Processing</t>
        </is>
      </c>
      <c r="G9" s="1" t="n">
        <v>90</v>
      </c>
    </row>
    <row r="10" ht="15" customHeight="1">
      <c r="A10" t="n">
        <v>13645007</v>
      </c>
      <c r="B10" t="inlineStr">
        <is>
          <t>Chronic obstructive pulmonary disease</t>
        </is>
      </c>
      <c r="C10" t="inlineStr">
        <is>
          <t>Comorbidities</t>
        </is>
      </c>
      <c r="E10" t="inlineStr">
        <is>
          <t>EX-C2-7-1: filtering out non-actionable low SpO2 alarms</t>
        </is>
      </c>
      <c r="F10" t="inlineStr">
        <is>
          <t>Filtering</t>
        </is>
      </c>
      <c r="G10" s="1" t="n">
        <v>90</v>
      </c>
    </row>
    <row r="11" ht="15" customHeight="1">
      <c r="A11" t="n">
        <v>13645008</v>
      </c>
      <c r="B11" t="inlineStr">
        <is>
          <t>Chronic obstructive pulmonary disease</t>
        </is>
      </c>
      <c r="C11" t="inlineStr">
        <is>
          <t>Comorbidities</t>
        </is>
      </c>
      <c r="E11" t="inlineStr">
        <is>
          <t>EX-C2-7-2: advisory low SpO2</t>
        </is>
      </c>
      <c r="F11" t="inlineStr">
        <is>
          <t>Processing</t>
        </is>
      </c>
      <c r="G11" s="1" t="n">
        <v>90</v>
      </c>
    </row>
    <row r="12" ht="15" customHeight="1">
      <c r="A12" t="n">
        <v>309904001</v>
      </c>
      <c r="B12" t="inlineStr">
        <is>
          <t>Intensive care unit</t>
        </is>
      </c>
      <c r="C12" t="inlineStr">
        <is>
          <t>Ward</t>
        </is>
      </c>
      <c r="E12" t="inlineStr">
        <is>
          <t>EX-C1-2: filtering out non-actionable asystole alarm</t>
        </is>
      </c>
      <c r="F12" t="inlineStr">
        <is>
          <t>Filtering</t>
        </is>
      </c>
      <c r="I12" s="1" t="n">
        <v>40</v>
      </c>
      <c r="J12" s="1" t="n">
        <v>120</v>
      </c>
      <c r="K12" s="1" t="n">
        <v>60</v>
      </c>
      <c r="L12" s="1" t="n">
        <v>140</v>
      </c>
    </row>
    <row r="13" ht="15" customHeight="1">
      <c r="A13" t="n">
        <v>309904002</v>
      </c>
      <c r="B13" t="inlineStr">
        <is>
          <t>Intensive care unit</t>
        </is>
      </c>
      <c r="C13" t="inlineStr">
        <is>
          <t>Ward</t>
        </is>
      </c>
      <c r="E13" t="inlineStr">
        <is>
          <t>EX-C2-7-2: advisory low SpO2</t>
        </is>
      </c>
      <c r="F13" t="inlineStr">
        <is>
          <t>Processing</t>
        </is>
      </c>
      <c r="G13" s="1" t="n">
        <v>100</v>
      </c>
    </row>
    <row r="14" ht="15" customHeight="1">
      <c r="A14" t="n">
        <v>309904003</v>
      </c>
      <c r="B14" t="inlineStr">
        <is>
          <t>Intensive care unit</t>
        </is>
      </c>
      <c r="C14" t="inlineStr">
        <is>
          <t>Ward</t>
        </is>
      </c>
      <c r="E14" t="inlineStr">
        <is>
          <t>EX-C2-7-1: filtering out non-actionable low SpO2 alarms</t>
        </is>
      </c>
      <c r="F14" t="inlineStr">
        <is>
          <t>Filtering</t>
        </is>
      </c>
      <c r="G14" s="1" t="n">
        <v>98</v>
      </c>
    </row>
    <row r="15">
      <c r="A15" t="n">
        <v>309904004</v>
      </c>
      <c r="B15" t="inlineStr">
        <is>
          <t>Intensive care unit</t>
        </is>
      </c>
      <c r="C15" t="inlineStr">
        <is>
          <t>Ward</t>
        </is>
      </c>
      <c r="E15" t="inlineStr">
        <is>
          <t>EX-C3-1 : advisory deterioration based on MEWS score</t>
        </is>
      </c>
      <c r="F15" t="inlineStr">
        <is>
          <t>Processing</t>
        </is>
      </c>
      <c r="O15" s="1" t="n">
        <v>5</v>
      </c>
      <c r="P15" s="1" t="n">
        <v>10</v>
      </c>
      <c r="Q15" s="1" t="n">
        <v>10</v>
      </c>
      <c r="R15" s="1" t="n">
        <v>10</v>
      </c>
      <c r="S15" s="1" t="n">
        <v>10</v>
      </c>
      <c r="T15" s="1" t="n">
        <v>10</v>
      </c>
    </row>
    <row r="16" ht="15" customHeight="1">
      <c r="A16" t="n">
        <v>309904005</v>
      </c>
      <c r="B16" t="inlineStr">
        <is>
          <t>Intensive care unit</t>
        </is>
      </c>
      <c r="C16" t="inlineStr">
        <is>
          <t>Ward</t>
        </is>
      </c>
      <c r="E16" t="inlineStr">
        <is>
          <t>EX-C1-1 : filtering out non-actionable high ABP alarm</t>
        </is>
      </c>
      <c r="F16" t="inlineStr">
        <is>
          <t>Processing</t>
        </is>
      </c>
    </row>
    <row r="17" ht="15" customHeight="1">
      <c r="A17" t="n">
        <v>309904006</v>
      </c>
      <c r="B17" t="inlineStr">
        <is>
          <t>Intensive care unit</t>
        </is>
      </c>
      <c r="C17" t="inlineStr">
        <is>
          <t>Ward</t>
        </is>
      </c>
      <c r="E17" t="inlineStr">
        <is>
          <t>EX-C1-1 : filtering out non-actionable high ABP alarm</t>
        </is>
      </c>
      <c r="F17" t="inlineStr">
        <is>
          <t>Filtering</t>
        </is>
      </c>
      <c r="L17" s="1" t="n">
        <v>150</v>
      </c>
      <c r="M17" s="1" t="n">
        <v>95</v>
      </c>
    </row>
    <row r="18" ht="15" customHeight="1">
      <c r="A18" t="n">
        <v>418028002</v>
      </c>
      <c r="B18" t="inlineStr">
        <is>
          <t>Surgical stepdown unit</t>
        </is>
      </c>
      <c r="C18" t="inlineStr">
        <is>
          <t>Ward</t>
        </is>
      </c>
      <c r="E18" t="inlineStr">
        <is>
          <t>EX-C2-3: filtering out non-actionable high HR alarm due to pain</t>
        </is>
      </c>
      <c r="F18" t="inlineStr">
        <is>
          <t>Processing</t>
        </is>
      </c>
    </row>
    <row r="19" ht="15" customHeight="1">
      <c r="A19" t="n">
        <v>418028003</v>
      </c>
      <c r="B19" t="inlineStr">
        <is>
          <t>Surgical stepdown unit</t>
        </is>
      </c>
      <c r="C19" t="inlineStr">
        <is>
          <t>Ward</t>
        </is>
      </c>
      <c r="E19" t="inlineStr">
        <is>
          <t>EX-C2-3: filtering out non-actionable high HR alarm due to pain</t>
        </is>
      </c>
      <c r="F19" t="inlineStr">
        <is>
          <t>Filtering</t>
        </is>
      </c>
      <c r="N19" s="1" t="n">
        <v>100</v>
      </c>
    </row>
    <row r="20" ht="15" customHeight="1">
      <c r="A20" t="n">
        <v>418028004</v>
      </c>
      <c r="B20" t="inlineStr">
        <is>
          <t>Surgical stepdown unit</t>
        </is>
      </c>
      <c r="C20" t="inlineStr">
        <is>
          <t>Ward</t>
        </is>
      </c>
      <c r="E20" t="inlineStr">
        <is>
          <t>EX-C2-5: advisory potential post-operative bleeding</t>
        </is>
      </c>
      <c r="F20" t="inlineStr">
        <is>
          <t>Processing</t>
        </is>
      </c>
      <c r="I20" s="1" t="n">
        <v>50</v>
      </c>
      <c r="J20" s="1" t="n">
        <v>130</v>
      </c>
      <c r="K20" s="1" t="n">
        <v>60</v>
      </c>
      <c r="L20" s="1" t="n">
        <v>100</v>
      </c>
    </row>
    <row r="21">
      <c r="A21" t="n">
        <v>429271009</v>
      </c>
      <c r="B21" t="inlineStr">
        <is>
          <t>Ventilator associated pneumonia</t>
        </is>
      </c>
      <c r="C21" t="inlineStr">
        <is>
          <t>Predicted risks</t>
        </is>
      </c>
      <c r="E21" t="inlineStr">
        <is>
          <t>EX-C3-1 : advisory deterioration based on MEWS score</t>
        </is>
      </c>
      <c r="F21" t="inlineStr">
        <is>
          <t>Processing</t>
        </is>
      </c>
      <c r="O21" s="1" t="n">
        <v>5</v>
      </c>
      <c r="P21" s="1" t="n">
        <v>2</v>
      </c>
      <c r="Q21" s="1" t="n">
        <v>2</v>
      </c>
      <c r="R21" s="1" t="n">
        <v>2</v>
      </c>
      <c r="S21" s="1" t="n">
        <v>10</v>
      </c>
      <c r="T21" s="1" t="n">
        <v>10</v>
      </c>
    </row>
  </sheetData>
  <autoFilter ref="A1:F21"/>
  <dataValidations count="1">
    <dataValidation sqref="F2:F21 G3:G8 G10:H10 G12:H12 G15:H20 H4:H8" showDropDown="0" showInputMessage="1" showErrorMessage="1" allowBlank="1" type="list">
      <formula1>"Processing,Filtering"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41" t="inlineStr">
        <is>
          <t>Bed ID</t>
        </is>
      </c>
      <c r="B1" s="41" t="inlineStr">
        <is>
          <t>Ward</t>
        </is>
      </c>
      <c r="C1" s="41" t="inlineStr">
        <is>
          <t>Admission reason</t>
        </is>
      </c>
      <c r="D1" s="41" t="inlineStr">
        <is>
          <t>Active conditions</t>
        </is>
      </c>
      <c r="E1" s="41" t="inlineStr">
        <is>
          <t>Comorbidities</t>
        </is>
      </c>
      <c r="F1" s="41" t="inlineStr">
        <is>
          <t>Predicted risks</t>
        </is>
      </c>
    </row>
    <row r="2">
      <c r="A2" t="n">
        <v>4</v>
      </c>
      <c r="B2" t="inlineStr">
        <is>
          <t>Test</t>
        </is>
      </c>
      <c r="C2" t="inlineStr"/>
      <c r="D2" t="inlineStr"/>
      <c r="E2" t="inlineStr"/>
      <c r="F2" t="inlineStr"/>
    </row>
    <row r="3">
      <c r="A3" t="n">
        <v>5</v>
      </c>
      <c r="B3" t="inlineStr">
        <is>
          <t>Surgical stepdown unit</t>
        </is>
      </c>
      <c r="C3" t="inlineStr"/>
      <c r="D3" t="inlineStr"/>
      <c r="E3" t="inlineStr"/>
      <c r="F3" t="inlineStr">
        <is>
          <t>Postoperative hemorrhage</t>
        </is>
      </c>
    </row>
    <row r="4">
      <c r="A4" t="n">
        <v>6</v>
      </c>
      <c r="B4" t="inlineStr">
        <is>
          <t>Intensive care unit</t>
        </is>
      </c>
      <c r="C4" t="inlineStr"/>
      <c r="D4" t="inlineStr"/>
      <c r="E4" t="inlineStr"/>
      <c r="F4" t="inlineStr"/>
    </row>
    <row r="5">
      <c r="A5" t="n">
        <v>7</v>
      </c>
      <c r="B5" t="inlineStr">
        <is>
          <t>Intensive care unit</t>
        </is>
      </c>
      <c r="C5" t="inlineStr">
        <is>
          <t>Acute exacerbation of chronic obstructive pulmonary disease</t>
        </is>
      </c>
      <c r="D5" t="inlineStr">
        <is>
          <t>Acute exacerbation of chronic obstructive pulmonary disease</t>
        </is>
      </c>
      <c r="E5" t="inlineStr">
        <is>
          <t>Chronic obstructive pulmonary disease</t>
        </is>
      </c>
      <c r="F5" t="inlineStr">
        <is>
          <t>Ventilator associated pneumonia</t>
        </is>
      </c>
    </row>
    <row r="6">
      <c r="A6" t="n">
        <v>8</v>
      </c>
      <c r="B6" t="inlineStr">
        <is>
          <t>Intensive care unit</t>
        </is>
      </c>
      <c r="C6" t="inlineStr">
        <is>
          <t>Hemorrhagic shock</t>
        </is>
      </c>
      <c r="D6" t="inlineStr">
        <is>
          <t>Hemorrhagic shock</t>
        </is>
      </c>
      <c r="E6" t="inlineStr"/>
      <c r="F6" t="inlineStr">
        <is>
          <t>Heart failure</t>
        </is>
      </c>
    </row>
    <row r="7">
      <c r="A7" t="n">
        <v>9</v>
      </c>
      <c r="B7" t="inlineStr">
        <is>
          <t>Neonatal intensive care unit</t>
        </is>
      </c>
      <c r="C7" t="inlineStr">
        <is>
          <t>Premature birth of newborn</t>
        </is>
      </c>
      <c r="D7" t="inlineStr">
        <is>
          <t>Premature birth of newborn</t>
        </is>
      </c>
      <c r="E7" t="inlineStr"/>
      <c r="F7" t="inlineStr"/>
    </row>
    <row r="8">
      <c r="A8" t="n">
        <v>10</v>
      </c>
      <c r="B8" t="inlineStr">
        <is>
          <t>Neonatal intensive care unit</t>
        </is>
      </c>
      <c r="C8" t="inlineStr">
        <is>
          <t>Acute respiratory distress syndrome</t>
        </is>
      </c>
      <c r="D8" t="inlineStr">
        <is>
          <t>Acute respiratory distress syndrome</t>
        </is>
      </c>
      <c r="E8" t="inlineStr"/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E1" sqref="E1:F10"/>
    </sheetView>
  </sheetViews>
  <sheetFormatPr baseColWidth="8" defaultRowHeight="14.45"/>
  <cols>
    <col width="9.140625" customWidth="1" style="10" min="1" max="1"/>
    <col width="13.5703125" customWidth="1" min="2" max="2"/>
    <col width="17.42578125" customWidth="1" style="10" min="3" max="3"/>
    <col width="34.28515625" customWidth="1" min="4" max="4"/>
    <col width="15.42578125" customWidth="1" style="10" min="5" max="5"/>
    <col width="40.5703125" customWidth="1" min="6" max="6"/>
    <col width="15.28515625" customWidth="1" style="10" min="7" max="7"/>
    <col width="53.5703125" customWidth="1" min="8" max="8"/>
    <col width="13.140625" bestFit="1" customWidth="1" style="10" min="9" max="9"/>
    <col width="45.85546875" customWidth="1" min="10" max="10"/>
    <col width="13.140625" bestFit="1" customWidth="1" style="10" min="11" max="11"/>
    <col width="39.5703125" customWidth="1" min="12" max="12"/>
    <col width="9.140625" customWidth="1" style="10" min="13" max="13"/>
    <col width="40.5703125" customWidth="1" style="11" min="14" max="14"/>
  </cols>
  <sheetData>
    <row r="1" ht="15" customHeight="1">
      <c r="A1" s="8" t="inlineStr">
        <is>
          <t>Bed ID</t>
        </is>
      </c>
      <c r="B1" s="15" t="inlineStr">
        <is>
          <t>Profile</t>
        </is>
      </c>
      <c r="C1" s="22" t="inlineStr">
        <is>
          <t>Bed ID</t>
        </is>
      </c>
      <c r="D1" s="33" t="inlineStr">
        <is>
          <t>Profile</t>
        </is>
      </c>
      <c r="E1" s="22" t="inlineStr">
        <is>
          <t>Bed ID</t>
        </is>
      </c>
      <c r="F1" s="22" t="inlineStr">
        <is>
          <t>Profile</t>
        </is>
      </c>
      <c r="G1" s="35" t="inlineStr">
        <is>
          <t>Bed ID</t>
        </is>
      </c>
      <c r="H1" s="22" t="inlineStr">
        <is>
          <t>Ward</t>
        </is>
      </c>
      <c r="I1" s="15" t="inlineStr">
        <is>
          <t>Bed ID</t>
        </is>
      </c>
      <c r="J1" s="15" t="inlineStr">
        <is>
          <t>Profile</t>
        </is>
      </c>
      <c r="K1" s="8" t="inlineStr">
        <is>
          <t>Bed ID</t>
        </is>
      </c>
      <c r="L1" s="15" t="inlineStr">
        <is>
          <t>Profile</t>
        </is>
      </c>
      <c r="M1" s="8" t="inlineStr">
        <is>
          <t>Bed ID</t>
        </is>
      </c>
      <c r="N1" s="9" t="inlineStr">
        <is>
          <t>Profile</t>
        </is>
      </c>
    </row>
    <row r="2" ht="15" customHeight="1">
      <c r="A2" s="10">
        <f t="array" ref="A2">IF(MOD(COLUMN()-COLUMN($A$2),2)=0, INDEX('3. Link of "Profiles" to beds'!$A$2:$A$8, (COLUMN()-COLUMN($A$2))/2+1), "")</f>
        <v/>
      </c>
      <c r="B2">
        <f t="array" ref="B2">IF(MOD(COLUMN()-COLUMN($B$2),2)=0, INDEX('3. Link of "Profiles" to beds'!$B$2:$B$8, (COLUMN()-COLUMN($B$2))/2+1), "")</f>
        <v/>
      </c>
      <c r="C2" s="21">
        <f t="array" ref="C2">IF(MOD(COLUMN()-COLUMN($A$2),2)=0, INDEX('3. Link of "Profiles" to beds'!$A$2:$A$8, (COLUMN()-COLUMN($A$2))/2+1), "")</f>
        <v/>
      </c>
      <c r="D2" s="28">
        <f t="array" ref="D2">IF(MOD(COLUMN()-COLUMN($B$2),2)=0, INDEX('3. Link of "Profiles" to beds'!$B$2:$B$8, (COLUMN()-COLUMN($B$2))/2+1), "")</f>
        <v/>
      </c>
      <c r="E2" s="21">
        <f t="array" ref="E2">IF(MOD(COLUMN()-COLUMN($A$2),2)=0, INDEX('3. Link of "Profiles" to beds'!$A$2:$A$8, (COLUMN()-COLUMN($A$2))/2+1), "")</f>
        <v/>
      </c>
      <c r="F2" s="21">
        <f t="array" ref="F2">IF(MOD(COLUMN()-COLUMN($B$2),2)=0, INDEX('3. Link of "Profiles" to beds'!$B$2:$B$8, (COLUMN()-COLUMN($B$2))/2+1), "")</f>
        <v/>
      </c>
      <c r="G2" s="31">
        <f t="array" ref="G2">IF(MOD(COLUMN()-COLUMN($A$2),2)=0, INDEX('3. Link of "Profiles" to beds'!$A$2:$A$8, (COLUMN()-COLUMN($A$2))/2+1), "")</f>
        <v/>
      </c>
      <c r="H2" s="21">
        <f t="array" ref="H2">IF(MOD(COLUMN()-COLUMN($B$2),2)=0, INDEX('3. Link of "Profiles" to beds'!$B$2:$B$8, (COLUMN()-COLUMN($B$2))/2+1), "")</f>
        <v/>
      </c>
      <c r="I2">
        <f t="array" ref="I2">IF(MOD(COLUMN()-COLUMN($A$2),2)=0, INDEX('3. Link of "Profiles" to beds'!$A$2:$A$8, (COLUMN()-COLUMN($A$2))/2+1), "")</f>
        <v/>
      </c>
      <c r="J2">
        <f t="array" ref="J2">IF(MOD(COLUMN()-COLUMN($B$2),2)=0, INDEX('3. Link of "Profiles" to beds'!$B$2:$B$8, (COLUMN()-COLUMN($B$2))/2+1), "")</f>
        <v/>
      </c>
      <c r="K2" s="10">
        <f t="array" ref="K2">IF(MOD(COLUMN()-COLUMN($A$2),2)=0, INDEX('3. Link of "Profiles" to beds'!$A$2:$A$8, (COLUMN()-COLUMN($A$2))/2+1), "")</f>
        <v/>
      </c>
      <c r="L2">
        <f t="array" ref="L2">IF(MOD(COLUMN()-COLUMN($B$2),2)=0, INDEX('3. Link of "Profiles" to beds'!$B$2:$B$8, (COLUMN()-COLUMN($B$2))/2+1), "")</f>
        <v/>
      </c>
      <c r="M2" s="10">
        <f t="array" ref="M2">IF(MOD(COLUMN()-COLUMN($A$2),2)=0, INDEX('3. Link of "Profiles" to beds'!$A$2:$A$8, (COLUMN()-COLUMN($A$2))/2+1), "")</f>
        <v/>
      </c>
      <c r="N2" s="11">
        <f t="array" ref="N2">IF(MOD(COLUMN()-COLUMN($B$2),2)=0, INDEX('3. Link of "Profiles" to beds'!$B$2:$B$8, (COLUMN()-COLUMN($B$2))/2+1), "")</f>
        <v/>
      </c>
    </row>
    <row r="3" hidden="1" ht="15" customHeight="1">
      <c r="C3" s="21" t="n"/>
      <c r="D3" s="28" t="n"/>
      <c r="E3" s="21" t="n"/>
      <c r="F3" s="21" t="n">
        <v>1</v>
      </c>
      <c r="G3" s="31" t="n"/>
      <c r="H3" s="21" t="n">
        <v>2</v>
      </c>
      <c r="J3" t="n">
        <v>3</v>
      </c>
    </row>
    <row r="4" ht="14.45" customHeight="1">
      <c r="A4" s="36" t="inlineStr">
        <is>
          <t>Processing</t>
        </is>
      </c>
      <c r="C4" s="39" t="inlineStr">
        <is>
          <t>Processing</t>
        </is>
      </c>
      <c r="D4" s="31" t="n"/>
      <c r="E4" s="24" t="inlineStr">
        <is>
          <t>Field</t>
        </is>
      </c>
      <c r="F4" s="24" t="inlineStr">
        <is>
          <t>Processing Rule</t>
        </is>
      </c>
      <c r="G4" s="32" t="inlineStr">
        <is>
          <t>Field</t>
        </is>
      </c>
      <c r="H4" s="24" t="inlineStr">
        <is>
          <t>Processing Rule</t>
        </is>
      </c>
      <c r="I4" s="37" t="inlineStr">
        <is>
          <t>Processing</t>
        </is>
      </c>
      <c r="J4" s="11" t="n"/>
      <c r="K4" s="42" t="inlineStr">
        <is>
          <t>Processing</t>
        </is>
      </c>
      <c r="L4" s="11" t="n"/>
      <c r="M4" s="42" t="inlineStr">
        <is>
          <t>Processing</t>
        </is>
      </c>
      <c r="N4" s="11" t="n"/>
    </row>
    <row r="5" ht="41.25" customFormat="1" customHeight="1" s="2">
      <c r="A5" s="12" t="n"/>
      <c r="C5" s="21" t="inlineStr">
        <is>
          <t>Ward</t>
        </is>
      </c>
      <c r="D5" s="34">
        <f t="array" ref="D5:D6">_xlfn._xlws.FILTER(
  '2. Creation of "profiles"'!$E2:$E1000,
  (
    ('2. Creation of "profiles"'!$F2:$F1000="Processing") *
    (D2='2. Creation of "profiles"'!$B2:$B1000)
  ),
  "no rules for patient profile"
)</f>
        <v/>
      </c>
      <c r="E5" s="21" t="inlineStr">
        <is>
          <t>Ward</t>
        </is>
      </c>
      <c r="F5" s="19">
        <f t="array" ref="F5:F7">_xlfn._xlws.FILTER(
  '2. Creation of "profiles"'!$E2:$E1000,
  (
    ('2. Creation of "profiles"'!$F2:$F1000="Processing") *
    (F2='2. Creation of "profiles"'!$B2:$B1000)
  ),
  "no rules for patient profile"
)</f>
        <v/>
      </c>
      <c r="G5" s="30" t="inlineStr">
        <is>
          <t>Ward</t>
        </is>
      </c>
      <c r="H5" s="23">
        <f t="array" ref="H5:H7">_xlfn._xlws.FILTER(
  '2. Creation of "profiles"'!$E2:$E1000,
  (
    ('2. Creation of "profiles"'!$F2:$F1000="Processing") *
    (H2='2. Creation of "profiles"'!$B2:$B1000)
  ),
  "no rules for ward"
)</f>
        <v/>
      </c>
      <c r="I5" s="2">
        <f t="array" ref="I5:I10">_xlfn.VSTACK(
(_xlfn._xlws.FILTER(
  '2. Creation of "profiles"'!$C2:$C1000,
  (
    ('2. Creation of "profiles"'!$F2:$F1000=I4) *
    (J2='2. Creation of "profiles"'!$B2:$B1000)
  ),
  ""
)),
(_xlfn._xlws.FILTER(
  '2. Creation of "profiles"'!$C2:$C1000,
  (
    (I2='3. Link of "Profiles" to beds'!$A2:$A1000) *
    ('2. Creation of "profiles"'!$B2:$B1000 = '3. Link of "Profiles" to beds'!J2:J1000) *
    ('2. Creation of "profiles"'!$C2:$C1000="Active conditions") *
    ('2. Creation of "profiles"'!$F2:$F1000=I4)
  ) &gt; 0,
  ""
)),
(_xlfn._xlws.FILTER(
  '2. Creation of "profiles"'!$C2:$C1000,
  (
    (I2='3. Link of "Profiles" to beds'!$A2:$A1000) *
    ('2. Creation of "profiles"'!H2:H1000 = '3. Link of "Profiles" to beds'!K2:K1000) *
    ('2. Creation of "profiles"'!I2:I1000="Comorbidities") *
    ('2. Creation of "profiles"'!L2:L1000=I4)
  ) &gt; 0,
  ""
)),
(_xlfn._xlws.FILTER(
  '2. Creation of "profiles"'!$C2:$C1000,
  (
    (I2='3. Link of "Profiles" to beds'!$A2:$A1000) *
    ('2. Creation of "profiles"'!$B2:$B1000 = '3. Link of "Profiles" to beds'!$F2:$F1000) *
    ('2. Creation of "profiles"'!$C2:$C1000="Predicted risks") *
    ('2. Creation of "profiles"'!$F2:$F1000=I4)
  ) &gt; 0,
  ""
))
)</f>
        <v/>
      </c>
      <c r="J5" s="2">
        <f t="array" ref="J5:J10">_xlfn.VSTACK(
(_xlfn._xlws.FILTER(
  '2. Creation of "profiles"'!$E2:$E1000,
  (
    ('2. Creation of "profiles"'!$F2:$F1000=I4) *
    (J2='2. Creation of "profiles"'!$B2:$B1000)
  ),
  "no rules for patient profile"
)),
(_xlfn._xlws.FILTER(
  '2. Creation of "profiles"'!$E2:$E1000,
  (
    (I2='3. Link of "Profiles" to beds'!$A2:$A1000) *
    ('2. Creation of "profiles"'!$B2:$B1000 = '3. Link of "Profiles" to beds'!H2:H1000) *
    ('2. Creation of "profiles"'!$C2:$C1000="Active conditions") *
    ('2. Creation of "profiles"'!$F2:$F1000=I4)
  ) &gt; 0,
  "no rules for active conditions"
)),
(_xlfn._xlws.FILTER(
  '2. Creation of "profiles"'!$E2:$E1000,
  (
    (I2='3. Link of "Profiles" to beds'!$A2:$A1000) *
    ('2. Creation of "profiles"'!F2:F1000 = '3. Link of "Profiles" to beds'!I2:I1000) *
    ('2. Creation of "profiles"'!I2:I1000="Comorbidities") *
    ('2. Creation of "profiles"'!L2:L1000=I4)
  ) &gt; 0,
  "no rules for comorbidities"
)),
(_xlfn._xlws.FILTER(
  '2. Creation of "profiles"'!$E2:$E1000,
  (
    (I2='3. Link of "Profiles" to beds'!$A2:$A1000) *
    ('2. Creation of "profiles"'!$B2:$B1000 = '3. Link of "Profiles" to beds'!$F2:$F1000) *
    ('2. Creation of "profiles"'!$C2:$C1000="Predicted risks") *
    ('2. Creation of "profiles"'!$F2:$F1000=I4)
  ) &gt; 0,
  "no rules for predicted risks"
))
)</f>
        <v/>
      </c>
      <c r="K5" s="12">
        <f t="array" ref="K5:K8">_xlfn.VSTACK(
(_xlfn._xlws.FILTER(
  '2. Creation of "profiles"'!$C2:$C1000,
  (
    ('2. Creation of "profiles"'!$F2:$F1000=K4) *
    (L2='2. Creation of "profiles"'!$B2:$B1000)
  ),
  ""
)),
(_xlfn._xlws.FILTER(
  '2. Creation of "profiles"'!$C2:$C1000,
  (
    (K2='3. Link of "Profiles" to beds'!$A2:$A1000) *
    ('2. Creation of "profiles"'!$B2:$B1000 = '3. Link of "Profiles" to beds'!L2:L1000) *
    ('2. Creation of "profiles"'!$C2:$C1000="Active conditions") *
    ('2. Creation of "profiles"'!$F2:$F1000=K4)
  ) &gt; 0,
  ""
)),
(_xlfn._xlws.FILTER(
  '2. Creation of "profiles"'!$C2:$C1000,
  (
    (K2='3. Link of "Profiles" to beds'!$A2:$A1000) *
    ('2. Creation of "profiles"'!J2:J1000 = '3. Link of "Profiles" to beds'!M2:M1000) *
    ('2. Creation of "profiles"'!K2:K1000="Comorbidities") *
    ('2. Creation of "profiles"'!N2:N1000=K4)
  ) &gt; 0,
  ""
)),
(_xlfn._xlws.FILTER(
  '2. Creation of "profiles"'!$C2:$C1000,
  (
    (K2='3. Link of "Profiles" to beds'!$A2:$A1000) *
    ('2. Creation of "profiles"'!$B2:$B1000 = '3. Link of "Profiles" to beds'!$F2:$F1000) *
    ('2. Creation of "profiles"'!$C2:$C1000="Predicted risks") *
    ('2. Creation of "profiles"'!$F2:$F1000=K4)
  ) &gt; 0,
  ""
))
)</f>
        <v/>
      </c>
      <c r="L5" s="2">
        <f t="array" ref="L5:L8">_xlfn.VSTACK(
(_xlfn._xlws.FILTER(
  '2. Creation of "profiles"'!$E2:$E1000,
  (
    ('2. Creation of "profiles"'!$F2:$F1000=K4) *
    (L2='2. Creation of "profiles"'!$B2:$B1000)
  ),
  "no rules for patient profile"
)),
(_xlfn._xlws.FILTER(
  '2. Creation of "profiles"'!$E2:$E1000,
  (
    (K2='3. Link of "Profiles" to beds'!$A2:$A1000) *
    ('2. Creation of "profiles"'!$B2:$B1000 = '3. Link of "Profiles" to beds'!J2:J1000) *
    ('2. Creation of "profiles"'!$C2:$C1000="Active conditions") *
    ('2. Creation of "profiles"'!$F2:$F1000=K4)
  ) &gt; 0,
  "no rules for active conditions"
)),
(_xlfn._xlws.FILTER(
  '2. Creation of "profiles"'!$E2:$E1000,
  (
    (K2='3. Link of "Profiles" to beds'!$A2:$A1000) *
    ('2. Creation of "profiles"'!J2:J1000 = '3. Link of "Profiles" to beds'!K2:K1000) *
    ('2. Creation of "profiles"'!K2:K1000="Comorbidities") *
    ('2. Creation of "profiles"'!P2:P1000=K4)
  ) &gt; 0,
  "no rules for comorbidities"
)),
(_xlfn._xlws.FILTER(
  '2. Creation of "profiles"'!$E2:$E1000,
  (
    (K2='3. Link of "Profiles" to beds'!$A2:$A1000) *
    ('2. Creation of "profiles"'!$B2:$B1000 = '3. Link of "Profiles" to beds'!$F2:$F1000) *
    ('2. Creation of "profiles"'!$C2:$C1000="Predicted risks") *
    ('2. Creation of "profiles"'!$F2:$F1000=K4)
  ) &gt; 0,
  "no rules for predicted risks"
))
)</f>
        <v/>
      </c>
      <c r="M5" s="12">
        <f t="array" ref="M5:M8">_xlfn.VSTACK(
(_xlfn._xlws.FILTER(
  '2. Creation of "profiles"'!$C2:$C1000,
  (
    ('2. Creation of "profiles"'!$F2:$F1000=M4) *
    (N2='2. Creation of "profiles"'!$B2:$B1000)
  ),
  ""
)),
(_xlfn._xlws.FILTER(
  '2. Creation of "profiles"'!$C2:$C1000,
  (
    (M2='3. Link of "Profiles" to beds'!$A2:$A1000) *
    ('2. Creation of "profiles"'!$B2:$B1000 = '3. Link of "Profiles" to beds'!N2:N1000) *
    ('2. Creation of "profiles"'!$C2:$C1000="Active conditions") *
    ('2. Creation of "profiles"'!$F2:$F1000=M4)
  ) &gt; 0,
  ""
)),
(_xlfn._xlws.FILTER(
  '2. Creation of "profiles"'!$C2:$C1000,
  (
    (M2='3. Link of "Profiles" to beds'!$A2:$A1000) *
    ('2. Creation of "profiles"'!L2:L1000 = '3. Link of "Profiles" to beds'!O2:O1000) *
    ('2. Creation of "profiles"'!M2:M1000="Comorbidities") *
    ('2. Creation of "profiles"'!P2:P1000=M4)
  ) &gt; 0,
  ""
)),
(_xlfn._xlws.FILTER(
  '2. Creation of "profiles"'!$C2:$C1000,
  (
    (M2='3. Link of "Profiles" to beds'!$A2:$A1000) *
    ('2. Creation of "profiles"'!$B2:$B1000 = '3. Link of "Profiles" to beds'!$F2:$F1000) *
    ('2. Creation of "profiles"'!$C2:$C1000="Predicted risks") *
    ('2. Creation of "profiles"'!$F2:$F1000=M4)
  ) &gt; 0,
  ""
))
)</f>
        <v/>
      </c>
      <c r="N5" s="18">
        <f t="array" ref="N5:N8">_xlfn.VSTACK(
(_xlfn._xlws.FILTER(
  '2. Creation of "profiles"'!$E2:$E1000,
  (
    ('2. Creation of "profiles"'!$F2:$F1000=M4) *
    (N2='2. Creation of "profiles"'!$B2:$B1000)
  ),
  "no rules for patient profile"
)),
(_xlfn._xlws.FILTER(
  '2. Creation of "profiles"'!$E2:$E1000,
  (
    (M2='3. Link of "Profiles" to beds'!$A2:$A1000) *
    ('2. Creation of "profiles"'!$B2:$B1000 = '3. Link of "Profiles" to beds'!L2:L1000) *
    ('2. Creation of "profiles"'!$C2:$C1000="Active conditions") *
    ('2. Creation of "profiles"'!$F2:$F1000=M4)
  ) &gt; 0,
  "no rules for active conditions"
)),
(_xlfn._xlws.FILTER(
  '2. Creation of "profiles"'!$E2:$E1000,
  (
    (M2='3. Link of "Profiles" to beds'!$A2:$A1000) *
    ('2. Creation of "profiles"'!L2:L1000 = '3. Link of "Profiles" to beds'!M2:M1000) *
    ('2. Creation of "profiles"'!O2:O1000="Comorbidities") *
    ('2. Creation of "profiles"'!R2:R1000=M4)
  ) &gt; 0,
  "no rules for comorbidities"
)),
(_xlfn._xlws.FILTER(
  '2. Creation of "profiles"'!$E2:$E1000,
  (
    (M2='3. Link of "Profiles" to beds'!$A2:$A1000) *
    ('2. Creation of "profiles"'!$B2:$B1000 = '3. Link of "Profiles" to beds'!$F2:$F1000) *
    ('2. Creation of "profiles"'!$C2:$C1000="Predicted risks") *
    ('2. Creation of "profiles"'!$F2:$F1000=M4)
  ) &gt; 0,
  "no rules for predicted risks"
))
)</f>
        <v/>
      </c>
    </row>
    <row r="6" ht="29.25" customFormat="1" customHeight="1" s="2">
      <c r="A6" s="12" t="n"/>
      <c r="C6" s="21" t="inlineStr">
        <is>
          <t>Ward</t>
        </is>
      </c>
      <c r="D6" s="34" t="inlineStr">
        <is>
          <t>EX-C2-5: advisory potential post-operative bleeding</t>
        </is>
      </c>
      <c r="E6" s="21" t="inlineStr">
        <is>
          <t>Ward</t>
        </is>
      </c>
      <c r="F6" s="19" t="inlineStr">
        <is>
          <t>EX-C3-1 : advisory deterioration based on MEWS score</t>
        </is>
      </c>
      <c r="G6" s="31" t="inlineStr">
        <is>
          <t>Ward</t>
        </is>
      </c>
      <c r="H6" s="21" t="inlineStr">
        <is>
          <t>EX-C3-1 : advisory deterioration based on MEWS score</t>
        </is>
      </c>
      <c r="I6" s="2" t="inlineStr">
        <is>
          <t>Ward</t>
        </is>
      </c>
      <c r="J6" s="2" t="inlineStr">
        <is>
          <t>EX-C3-1 : advisory deterioration based on MEWS score</t>
        </is>
      </c>
      <c r="K6" s="12" t="str"/>
      <c r="L6" s="2" t="inlineStr">
        <is>
          <t>no rules for active conditions</t>
        </is>
      </c>
      <c r="M6" s="12" t="str"/>
      <c r="N6" s="18" t="inlineStr">
        <is>
          <t>no rules for active conditions</t>
        </is>
      </c>
    </row>
    <row r="7" ht="29.25" customFormat="1" customHeight="1" s="2">
      <c r="A7" s="12" t="n"/>
      <c r="C7" s="21" t="inlineStr">
        <is>
          <t>Active conditions</t>
        </is>
      </c>
      <c r="D7" s="34">
        <f t="array" ref="D7">_xlfn._xlws.FILTER('2. Creation of "profiles"'!E:E,('2. Creation of "profiles"'!F:F="Processing")*('2. Creation of "profiles"'!C:C='Overview Processing vs Beds'!C7)*(_xlfn._xlws.FILTER('3. Link of "Profiles" to beds'!D:D,'3. Link of "Profiles" to beds'!A:A='Overview Processing vs Beds'!C2)='2. Creation of "profiles"'!B:B),"none")</f>
        <v/>
      </c>
      <c r="E7" s="21" t="inlineStr">
        <is>
          <t>Ward</t>
        </is>
      </c>
      <c r="F7" s="19" t="inlineStr">
        <is>
          <t>EX-C1-1 : filtering out non-actionable high ABP alarm</t>
        </is>
      </c>
      <c r="G7" s="31" t="inlineStr">
        <is>
          <t>Ward</t>
        </is>
      </c>
      <c r="H7" s="21" t="inlineStr">
        <is>
          <t>EX-C1-1 : filtering out non-actionable high ABP alarm</t>
        </is>
      </c>
      <c r="I7" s="2" t="inlineStr">
        <is>
          <t>Ward</t>
        </is>
      </c>
      <c r="J7" s="2" t="inlineStr">
        <is>
          <t>EX-C1-1 : filtering out non-actionable high ABP alarm</t>
        </is>
      </c>
      <c r="K7" s="12" t="str"/>
      <c r="L7" s="2" t="inlineStr">
        <is>
          <t>no rules for comorbidities</t>
        </is>
      </c>
      <c r="M7" s="12" t="str"/>
      <c r="N7" s="18" t="inlineStr">
        <is>
          <t>no rules for comorbidities</t>
        </is>
      </c>
    </row>
    <row r="8" ht="15" customFormat="1" customHeight="1" s="2">
      <c r="A8" s="12" t="n"/>
      <c r="C8" s="21" t="inlineStr">
        <is>
          <t>Comorbidities</t>
        </is>
      </c>
      <c r="D8" s="34">
        <f t="array" ref="D8">_xlfn._xlws.FILTER('2. Creation of "profiles"'!E:E,('2. Creation of "profiles"'!F:F="Processing")*('2. Creation of "profiles"'!C:C='Overview Processing vs Beds'!C8)*(_xlfn._xlws.FILTER('3. Link of "Profiles" to beds'!E:E,'3. Link of "Profiles" to beds'!A:A='Overview Processing vs Beds'!C2)='2. Creation of "profiles"'!B:B),"none")</f>
        <v/>
      </c>
      <c r="E8" s="21" t="inlineStr">
        <is>
          <t>Active conditions</t>
        </is>
      </c>
      <c r="F8" s="20">
        <f t="array" ref="F8">_xlfn._xlws.FILTER('2. Creation of "profiles"'!E:E,('2. Creation of "profiles"'!F:F="Processing")*('2. Creation of "profiles"'!C:C='Overview Processing vs Beds'!E8)*(_xlfn._xlws.FILTER('3. Link of "Profiles" to beds'!D:D,'3. Link of "Profiles" to beds'!A:A='Overview Processing vs Beds'!E2)='2. Creation of "profiles"'!B:B),"none")</f>
        <v/>
      </c>
      <c r="G8" s="31" t="inlineStr">
        <is>
          <t>Active conditions</t>
        </is>
      </c>
      <c r="H8" s="21">
        <f t="array" ref="H8">_xlfn._xlws.FILTER('2. Creation of "profiles"'!E:E,('2. Creation of "profiles"'!F:F="Processing")*('2. Creation of "profiles"'!C:C='Overview Processing vs Beds'!G8)*(_xlfn._xlws.FILTER('3. Link of "Profiles" to beds'!D:D,'3. Link of "Profiles" to beds'!A:A='Overview Processing vs Beds'!G2)='2. Creation of "profiles"'!B:B),"none")</f>
        <v/>
      </c>
      <c r="I8" s="2" t="str"/>
      <c r="J8" s="2" t="inlineStr">
        <is>
          <t>no rules for active conditions</t>
        </is>
      </c>
      <c r="K8" s="12" t="str"/>
      <c r="L8" s="2" t="inlineStr">
        <is>
          <t>no rules for predicted risks</t>
        </is>
      </c>
      <c r="M8" s="12" t="str"/>
      <c r="N8" s="18" t="inlineStr">
        <is>
          <t>no rules for predicted risks</t>
        </is>
      </c>
    </row>
    <row r="9" ht="15" customFormat="1" customHeight="1" s="2">
      <c r="A9" s="12" t="n"/>
      <c r="C9" s="21" t="inlineStr">
        <is>
          <t>Predicted risks</t>
        </is>
      </c>
      <c r="D9" s="34">
        <f t="array" ref="D9">_xlfn._xlws.FILTER('2. Creation of "profiles"'!E:E,('2. Creation of "profiles"'!F:F="Processing")*('2. Creation of "profiles"'!C:C='Overview Processing vs Beds'!C9)*(_xlfn._xlws.FILTER('3. Link of "Profiles" to beds'!F:F,'3. Link of "Profiles" to beds'!A:A='Overview Processing vs Beds'!C2)='2. Creation of "profiles"'!B:B),"none")</f>
        <v/>
      </c>
      <c r="E9" s="21" t="inlineStr">
        <is>
          <t>Comorbidities</t>
        </is>
      </c>
      <c r="F9" s="21">
        <f t="array" ref="F9">_xlfn._xlws.FILTER('2. Creation of "profiles"'!E:E,('2. Creation of "profiles"'!F:F="Processing")*('2. Creation of "profiles"'!C:C='Overview Processing vs Beds'!E9)*(_xlfn._xlws.FILTER('3. Link of "Profiles" to beds'!E:E,'3. Link of "Profiles" to beds'!A:A='Overview Processing vs Beds'!E2)='2. Creation of "profiles"'!B:B),"none")</f>
        <v/>
      </c>
      <c r="G9" s="31" t="inlineStr">
        <is>
          <t>Comorbidities</t>
        </is>
      </c>
      <c r="H9" s="21">
        <f t="array" ref="H9">_xlfn._xlws.FILTER('2. Creation of "profiles"'!E:E,('2. Creation of "profiles"'!F:F="Processing")*('2. Creation of "profiles"'!C:C='Overview Processing vs Beds'!G9)*(_xlfn._xlws.FILTER('3. Link of "Profiles" to beds'!E:E,'3. Link of "Profiles" to beds'!A:A='Overview Processing vs Beds'!G2)='2. Creation of "profiles"'!B:B),"none")</f>
        <v/>
      </c>
      <c r="I9" s="2" t="str"/>
      <c r="J9" s="2" t="inlineStr">
        <is>
          <t>no rules for comorbidities</t>
        </is>
      </c>
      <c r="K9" s="12" t="n"/>
      <c r="M9" s="12" t="n"/>
      <c r="N9" s="18" t="n"/>
    </row>
    <row r="10" ht="15" customFormat="1" customHeight="1" s="2">
      <c r="A10" s="12" t="n"/>
      <c r="C10" s="10" t="n"/>
      <c r="E10" s="21" t="inlineStr">
        <is>
          <t>Predicted risks</t>
        </is>
      </c>
      <c r="F10" s="21">
        <f t="array" ref="F10">_xlfn._xlws.FILTER('2. Creation of "profiles"'!E:E,('2. Creation of "profiles"'!F:F="Processing")*('2. Creation of "profiles"'!C:C='Overview Processing vs Beds'!G10)*(_xlfn._xlws.FILTER('3. Link of "Profiles" to beds'!F:F,'3. Link of "Profiles" to beds'!A:A='Overview Processing vs Beds'!E2)='2. Creation of "profiles"'!B:B),"none")</f>
        <v/>
      </c>
      <c r="G10" s="31" t="inlineStr">
        <is>
          <t>Predicted risks</t>
        </is>
      </c>
      <c r="H10" s="21">
        <f t="array" ref="H10">_xlfn._xlws.FILTER('2. Creation of "profiles"'!E:E,('2. Creation of "profiles"'!F:F="Processing")*('2. Creation of "profiles"'!C:C='Overview Processing vs Beds'!G10)*(_xlfn._xlws.FILTER('3. Link of "Profiles" to beds'!F:F,'3. Link of "Profiles" to beds'!A:A='Overview Processing vs Beds'!G2)='2. Creation of "profiles"'!B:B),"none")</f>
        <v/>
      </c>
      <c r="I10" s="2" t="str"/>
      <c r="J10" s="2" t="inlineStr">
        <is>
          <t>no rules for predicted risks</t>
        </is>
      </c>
      <c r="K10" s="12" t="n"/>
      <c r="M10" s="12" t="n"/>
      <c r="N10" s="18" t="n"/>
    </row>
    <row r="11" ht="15" customFormat="1" customHeight="1" s="3">
      <c r="A11" s="13" t="n"/>
      <c r="C11" s="10" t="n"/>
      <c r="E11" s="13" t="n"/>
      <c r="G11" s="13" t="n"/>
      <c r="H11" t="n"/>
      <c r="I11" s="13" t="n"/>
      <c r="K11" s="13" t="n"/>
      <c r="M11" s="13" t="n"/>
      <c r="N11" s="14" t="n"/>
    </row>
    <row r="12" ht="15" customFormat="1" customHeight="1" s="3">
      <c r="A12" s="13" t="n"/>
      <c r="C12" s="10" t="n"/>
      <c r="G12" s="13" t="n"/>
      <c r="H12" t="n"/>
      <c r="I12" s="13" t="n"/>
      <c r="K12" s="13" t="n"/>
      <c r="M12" s="13" t="n"/>
      <c r="N12" s="14" t="n"/>
    </row>
    <row r="13" ht="15" customHeight="1">
      <c r="G13" s="13" t="n"/>
      <c r="H13" s="3" t="n"/>
    </row>
    <row r="14" ht="15" customHeight="1">
      <c r="G14" s="13" t="n"/>
      <c r="H14" s="3" t="n"/>
    </row>
    <row r="15" ht="15" customHeight="1">
      <c r="G15" s="13" t="n"/>
      <c r="H15" s="3" t="n"/>
    </row>
    <row r="16" ht="15" customHeight="1">
      <c r="G16" s="13" t="n"/>
      <c r="H16" s="3" t="n"/>
    </row>
    <row r="17" ht="15" customHeight="1">
      <c r="G17" s="13" t="n"/>
      <c r="H17" s="3" t="n"/>
    </row>
    <row r="18" ht="15" customHeight="1">
      <c r="G18" s="13" t="n"/>
      <c r="H18" s="3" t="n"/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</sheetData>
  <mergeCells count="5">
    <mergeCell ref="A4:B4"/>
    <mergeCell ref="I4:J4"/>
    <mergeCell ref="K4:L4"/>
    <mergeCell ref="M4:N4"/>
    <mergeCell ref="C4:D4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C6" sqref="C6"/>
    </sheetView>
  </sheetViews>
  <sheetFormatPr baseColWidth="8" defaultRowHeight="14.45"/>
  <cols>
    <col width="9.140625" customWidth="1" style="10" min="1" max="1"/>
    <col width="9.140625" customWidth="1" style="10" min="3" max="3"/>
    <col width="22.42578125" customWidth="1" min="4" max="4"/>
    <col width="9.140625" customWidth="1" style="10" min="5" max="5"/>
    <col width="24" customWidth="1" min="6" max="6"/>
    <col width="9.140625" customWidth="1" style="10" min="7" max="7"/>
    <col width="27.42578125" customWidth="1" min="8" max="8"/>
    <col width="13.140625" bestFit="1" customWidth="1" style="10" min="9" max="9"/>
    <col width="25" customWidth="1" min="10" max="10"/>
    <col width="13.140625" bestFit="1" customWidth="1" style="10" min="11" max="11"/>
    <col width="25" customWidth="1" min="12" max="12"/>
    <col width="9.140625" customWidth="1" style="10" min="13" max="13"/>
    <col width="39" customWidth="1" style="11" min="14" max="14"/>
  </cols>
  <sheetData>
    <row r="1">
      <c r="A1" s="8" t="inlineStr">
        <is>
          <t>Bed ID</t>
        </is>
      </c>
      <c r="B1" s="15" t="inlineStr">
        <is>
          <t>Profile</t>
        </is>
      </c>
      <c r="C1" s="8" t="inlineStr">
        <is>
          <t>Bed ID</t>
        </is>
      </c>
      <c r="D1" s="15" t="inlineStr">
        <is>
          <t>Profile</t>
        </is>
      </c>
      <c r="E1" s="8" t="inlineStr">
        <is>
          <t>Bed ID</t>
        </is>
      </c>
      <c r="F1" s="15" t="inlineStr">
        <is>
          <t>Profile</t>
        </is>
      </c>
      <c r="G1" s="8" t="inlineStr">
        <is>
          <t>Bed ID</t>
        </is>
      </c>
      <c r="H1" s="15" t="inlineStr">
        <is>
          <t>Profile</t>
        </is>
      </c>
      <c r="I1" s="8" t="inlineStr">
        <is>
          <t>Bed ID</t>
        </is>
      </c>
      <c r="J1" s="15" t="inlineStr">
        <is>
          <t>Profile</t>
        </is>
      </c>
      <c r="K1" s="8" t="inlineStr">
        <is>
          <t>Bed ID</t>
        </is>
      </c>
      <c r="L1" s="15" t="inlineStr">
        <is>
          <t>Profile</t>
        </is>
      </c>
      <c r="M1" s="8" t="inlineStr">
        <is>
          <t>Bed ID</t>
        </is>
      </c>
      <c r="N1" s="9" t="inlineStr">
        <is>
          <t>Profile</t>
        </is>
      </c>
    </row>
    <row r="2">
      <c r="A2" s="10">
        <f t="array" ref="A2">IF(MOD(COLUMN()-COLUMN($A$2),2)=0, INDEX('3. Link of "Profiles" to beds'!$A$2:$A$8, (COLUMN()-COLUMN($A$2))/2+1), "")</f>
        <v/>
      </c>
      <c r="B2">
        <f t="array" ref="B2">IF(MOD(COLUMN()-COLUMN($B$2),2)=0, INDEX('3. Link of "Profiles" to beds'!$B$2:$B$8, (COLUMN()-COLUMN($B$2))/2+1), "")</f>
        <v/>
      </c>
      <c r="C2" s="10">
        <f t="array" ref="C2">IF(MOD(COLUMN()-COLUMN($A$2),2)=0, INDEX('3. Link of "Profiles" to beds'!$A$2:$A$8, (COLUMN()-COLUMN($A$2))/2+1), "")</f>
        <v/>
      </c>
      <c r="D2">
        <f t="array" ref="D2">IF(MOD(COLUMN()-COLUMN($B$2),2)=0, INDEX('3. Link of "Profiles" to beds'!$B$2:$B$8, (COLUMN()-COLUMN($B$2))/2+1), "")</f>
        <v/>
      </c>
      <c r="E2" s="10">
        <f t="array" ref="E2">IF(MOD(COLUMN()-COLUMN($A$2),2)=0, INDEX('3. Link of "Profiles" to beds'!$A$2:$A$8, (COLUMN()-COLUMN($A$2))/2+1), "")</f>
        <v/>
      </c>
      <c r="F2">
        <f t="array" ref="F2">IF(MOD(COLUMN()-COLUMN($B$2),2)=0, INDEX('3. Link of "Profiles" to beds'!$B$2:$B$8, (COLUMN()-COLUMN($B$2))/2+1), "")</f>
        <v/>
      </c>
      <c r="G2" s="10">
        <f t="array" ref="G2">IF(MOD(COLUMN()-COLUMN($A$2),2)=0, INDEX('3. Link of "Profiles" to beds'!$A$2:$A$8, (COLUMN()-COLUMN($A$2))/2+1), "")</f>
        <v/>
      </c>
      <c r="H2">
        <f t="array" ref="H2">IF(MOD(COLUMN()-COLUMN($B$2),2)=0, INDEX('3. Link of "Profiles" to beds'!$B$2:$B$8, (COLUMN()-COLUMN($B$2))/2+1), "")</f>
        <v/>
      </c>
      <c r="I2" s="10">
        <f t="array" ref="I2">IF(MOD(COLUMN()-COLUMN($A$2),2)=0, INDEX('3. Link of "Profiles" to beds'!$A$2:$A$8, (COLUMN()-COLUMN($A$2))/2+1), "")</f>
        <v/>
      </c>
      <c r="J2">
        <f t="array" ref="J2">IF(MOD(COLUMN()-COLUMN($B$2),2)=0, INDEX('3. Link of "Profiles" to beds'!$B$2:$B$8, (COLUMN()-COLUMN($B$2))/2+1), "")</f>
        <v/>
      </c>
      <c r="K2" s="10">
        <f t="array" ref="K2">IF(MOD(COLUMN()-COLUMN($A$2),2)=0, INDEX('3. Link of "Profiles" to beds'!$A$2:$A$8, (COLUMN()-COLUMN($A$2))/2+1), "")</f>
        <v/>
      </c>
      <c r="L2">
        <f t="array" ref="L2">IF(MOD(COLUMN()-COLUMN($B$2),2)=0, INDEX('3. Link of "Profiles" to beds'!$B$2:$B$8, (COLUMN()-COLUMN($B$2))/2+1), "")</f>
        <v/>
      </c>
      <c r="M2" s="10">
        <f t="array" ref="M2">IF(MOD(COLUMN()-COLUMN($A$2),2)=0, INDEX('3. Link of "Profiles" to beds'!$A$2:$A$8, (COLUMN()-COLUMN($A$2))/2+1), "")</f>
        <v/>
      </c>
      <c r="N2" s="11">
        <f t="array" ref="N2">IF(MOD(COLUMN()-COLUMN($B$2),2)=0, INDEX('3. Link of "Profiles" to beds'!$B$2:$B$8, (COLUMN()-COLUMN($B$2))/2+1), "")</f>
        <v/>
      </c>
    </row>
    <row r="4">
      <c r="A4" s="42" t="inlineStr">
        <is>
          <t>Filtering</t>
        </is>
      </c>
      <c r="B4" s="11" t="n"/>
      <c r="C4" s="42" t="inlineStr">
        <is>
          <t>Filtering</t>
        </is>
      </c>
      <c r="D4" s="11" t="n"/>
      <c r="E4" s="42" t="inlineStr">
        <is>
          <t>Filtering</t>
        </is>
      </c>
      <c r="F4" s="11" t="n"/>
      <c r="G4" s="42" t="inlineStr">
        <is>
          <t>Filtering</t>
        </is>
      </c>
      <c r="H4" s="11" t="n"/>
      <c r="I4" s="42" t="inlineStr">
        <is>
          <t>Filtering</t>
        </is>
      </c>
      <c r="J4" s="11" t="n"/>
      <c r="K4" s="42" t="inlineStr">
        <is>
          <t>Filtering</t>
        </is>
      </c>
      <c r="L4" s="11" t="n"/>
      <c r="M4" s="42" t="inlineStr">
        <is>
          <t>Filtering</t>
        </is>
      </c>
      <c r="N4" s="11" t="n"/>
    </row>
    <row r="6" ht="53.25" customFormat="1" customHeight="1" s="3">
      <c r="A6" s="12" t="n"/>
      <c r="B6" s="2" t="n"/>
      <c r="C6" s="12">
        <f t="array" ref="C6:C9">_xlfn.VSTACK(
(_xlfn._xlws.FILTER(
  '2. Creation of "profiles"'!$C2:$C1000,
  (
    ('2. Creation of "profiles"'!$F2:$F1000=C4) *
    (D2='2. Creation of "profiles"'!$B2:$B1000)
  ),
  ""
)),
(_xlfn._xlws.FILTER(
  '2. Creation of "profiles"'!$C2:$C1000,
  (
    (C2='3. Link of "Profiles" to beds'!$A2:$A1000) *
    ('2. Creation of "profiles"'!$B2:$B1000 = '3. Link of "Profiles" to beds'!D2:D1000) *
    ('2. Creation of "profiles"'!$C2:$C1000="Active conditions") *
    ('2. Creation of "profiles"'!$F2:$F1000=C4)
  ) &gt; 0,
  ""
)),
(_xlfn._xlws.FILTER(
  '2. Creation of "profiles"'!$C2:$C1000,
  (
    (C2='3. Link of "Profiles" to beds'!$A2:$A1000) *
    ('2. Creation of "profiles"'!B2:B1000 = '3. Link of "Profiles" to beds'!E2:E1000) *
    ('2. Creation of "profiles"'!C2:C1000="Comorbidities") *
    ('2. Creation of "profiles"'!F2:F1000=C4)
  ) &gt; 0,
  ""
)),
(_xlfn._xlws.FILTER(
  '2. Creation of "profiles"'!$C2:$C1000,
  (
    (C2='3. Link of "Profiles" to beds'!$A2:$A1000) *
    ('2. Creation of "profiles"'!$B2:$B1000 = '3. Link of "Profiles" to beds'!$F2:$F1000) *
    ('2. Creation of "profiles"'!$C2:$C1000="Predicted risks") *
    ('2. Creation of "profiles"'!$F2:$F1000=C4)
  ) &gt; 0,
  ""
))
)</f>
        <v/>
      </c>
      <c r="D6" s="2">
        <f t="array" ref="D6:D9">_xlfn.VSTACK(
(_xlfn._xlws.FILTER(
  '2. Creation of "profiles"'!$E2:$E1000,
  (
    ('2. Creation of "profiles"'!$F2:$F1000=C4) *
    (D2='2. Creation of "profiles"'!$B2:$B1000)
  ),
  "no rules for patient profile"
)),
(_xlfn._xlws.FILTER(
  '2. Creation of "profiles"'!$E2:$E1000,
  (
    (C2='3. Link of "Profiles" to beds'!$A2:$A1000) *
    ('2. Creation of "profiles"'!$B2:$B1000 = '3. Link of "Profiles" to beds'!D2:D1000) *
    ('2. Creation of "profiles"'!$C2:$C1000="Active conditions") *
    ('2. Creation of "profiles"'!$F2:$F1000=C4)
  ) &gt; 0,
  "no rules for active conditions"
)),
(_xlfn._xlws.FILTER(
  '2. Creation of "profiles"'!$E2:$E1000,
  (
    (C2='3. Link of "Profiles" to beds'!$A2:$A1000) *
    ('2. Creation of "profiles"'!B2:B1000 = '3. Link of "Profiles" to beds'!E2:E1000) *
    ('2. Creation of "profiles"'!C2:C1000="Comorbidities") *
    ('2. Creation of "profiles"'!F2:F1000=C4)
  ) &gt; 0,
  "no rules for comorbidities"
)),
(_xlfn._xlws.FILTER(
  '2. Creation of "profiles"'!$E2:$E1000,
  (
    (C2='3. Link of "Profiles" to beds'!$A2:$A1000) *
    ('2. Creation of "profiles"'!$B2:$B1000 = '3. Link of "Profiles" to beds'!$F2:$F1000) *
    ('2. Creation of "profiles"'!$C2:$C1000="Predicted risks") *
    ('2. Creation of "profiles"'!$F2:$F1000=C4)
  ) &gt; 0,
  "no rules for predicted risks"
))
)</f>
        <v/>
      </c>
      <c r="E6" s="12">
        <f t="array" ref="E6:E11">_xlfn.VSTACK(
(_xlfn._xlws.FILTER(
  '2. Creation of "profiles"'!$C2:$C1000,
  (
    ('2. Creation of "profiles"'!$F2:$F1000=E4) *
    (F2='2. Creation of "profiles"'!$B2:$B1000)
  ),
  ""
)),
(_xlfn._xlws.FILTER(
  '2. Creation of "profiles"'!$C2:$C1000,
  (
    (E2='3. Link of "Profiles" to beds'!$A2:$A1000) *
    ('2. Creation of "profiles"'!$B2:$B1000 = '3. Link of "Profiles" to beds'!F2:F1000) *
    ('2. Creation of "profiles"'!$C2:$C1000="Active conditions") *
    ('2. Creation of "profiles"'!$F2:$F1000=E4)
  ) &gt; 0,
  ""
)),
(_xlfn._xlws.FILTER(
  '2. Creation of "profiles"'!$C2:$C1000,
  (
    (E2='3. Link of "Profiles" to beds'!$A2:$A1000) *
    ('2. Creation of "profiles"'!D2:D1000 = '3. Link of "Profiles" to beds'!G2:G1000) *
    ('2. Creation of "profiles"'!E2:E1000="Comorbidities") *
    ('2. Creation of "profiles"'!H2:H1000=E4)
  ) &gt; 0,
  ""
)),
(_xlfn._xlws.FILTER(
  '2. Creation of "profiles"'!$C2:$C1000,
  (
    (E2='3. Link of "Profiles" to beds'!$A2:$A1000) *
    ('2. Creation of "profiles"'!$B2:$B1000 = '3. Link of "Profiles" to beds'!$F2:$F1000) *
    ('2. Creation of "profiles"'!$C2:$C1000="Predicted risks") *
    ('2. Creation of "profiles"'!$F2:$F1000=E4)
  ) &gt; 0,
  ""
))
)</f>
        <v/>
      </c>
      <c r="F6" s="2">
        <f t="array" ref="F6:F11">_xlfn.VSTACK(
_xlfn.UNIQUE(_xlfn._xlws.FILTER(
  '2. Creation of "profiles"'!$E2:$E1000,
  (
    ('2. Creation of "profiles"'!$F2:$F1000=E4) *
    (F2='2. Creation of "profiles"'!$B2:$B1000)
  ),
  "no rules for patient profile"
)),
_xlfn.UNIQUE(_xlfn._xlws.FILTER(
  '2. Creation of "profiles"'!$E2:$E1000,
  (
    (E2='3. Link of "Profiles" to beds'!$A2:$A1000) *
    ('2. Creation of "profiles"'!$B2:$B1000 = '3. Link of "Profiles" to beds'!D2:D1000) *
    ('2. Creation of "profiles"'!$C2:$C1000="Active conditions") *
    ('2. Creation of "profiles"'!$F2:$F1000=E4)
  ) &gt; 0,
  "no rules for active conditions"
)),
_xlfn.UNIQUE(_xlfn._xlws.FILTER(
  '2. Creation of "profiles"'!$E2:$E1000,
  (
    (E2='3. Link of "Profiles" to beds'!$A2:$A1000) *
    ('2. Creation of "profiles"'!B2:B1000 = '3. Link of "Profiles" to beds'!E2:E1000) *
    ('2. Creation of "profiles"'!C2:C1000="Comorbidities") *
    ('2. Creation of "profiles"'!F2:F1000=E4)
  ) &gt; 0,
  "no rules for comorbidities"
)),
_xlfn.UNIQUE(_xlfn._xlws.FILTER(
  '2. Creation of "profiles"'!$E2:$E1000,
  (
    (E2='3. Link of "Profiles" to beds'!$A2:$A1000) *
    ('2. Creation of "profiles"'!$B2:$B1000 = '3. Link of "Profiles" to beds'!$F2:$F1000) *
    ('2. Creation of "profiles"'!$C2:$C1000="Predicted risks") *
    ('2. Creation of "profiles"'!$F2:$F1000=E4)
  ) &gt; 0,
  "no rules for predicted risks"
))
)</f>
        <v/>
      </c>
      <c r="G6" s="12">
        <f t="array" ref="G6:G11">_xlfn.VSTACK(
(_xlfn._xlws.FILTER(
  '2. Creation of "profiles"'!$C2:$C1000,
  (
    ('2. Creation of "profiles"'!$F2:$F1000=G4) *
    (H2='2. Creation of "profiles"'!$B2:$B1000)
  ),
  ""
)),
(_xlfn._xlws.FILTER(
  '2. Creation of "profiles"'!$C2:$C1000,
  (
    (G2='3. Link of "Profiles" to beds'!$A2:$A1000) *
    ('2. Creation of "profiles"'!$B2:$B1000 = '3. Link of "Profiles" to beds'!H2:H1000) *
    ('2. Creation of "profiles"'!$C2:$C1000="Active conditions") *
    ('2. Creation of "profiles"'!$F2:$F1000=G4)
  ) &gt; 0,
  ""
)),
(_xlfn._xlws.FILTER(
  '2. Creation of "profiles"'!$C2:$C1000,
  (
    (G2='3. Link of "Profiles" to beds'!$A2:$A1000) *
    ('2. Creation of "profiles"'!F2:F1000 = '3. Link of "Profiles" to beds'!I2:I1000) *
    ('2. Creation of "profiles"'!G2:G1000="Comorbidities") *
    ('2. Creation of "profiles"'!J2:J1000=G4)
  ) &gt; 0,
  ""
)),
(_xlfn._xlws.FILTER(
  '2. Creation of "profiles"'!$C2:$C1000,
  (
    (G2='3. Link of "Profiles" to beds'!$A2:$A1000) *
    ('2. Creation of "profiles"'!$B2:$B1000 = '3. Link of "Profiles" to beds'!$F2:$F1000) *
    ('2. Creation of "profiles"'!$C2:$C1000="Predicted risks") *
    ('2. Creation of "profiles"'!$F2:$F1000=G4)
  ) &gt; 0,
  ""
))
)</f>
        <v/>
      </c>
      <c r="H6" s="2">
        <f t="array" ref="H6:H11">_xlfn.VSTACK(
_xlfn.UNIQUE(_xlfn._xlws.FILTER(
  '2. Creation of "profiles"'!$E2:$E1000,
  (
    ('2. Creation of "profiles"'!$F2:$F1000=G4) *
    (H2='2. Creation of "profiles"'!$B2:$B1000)
  ),
  "no rules for patient profile"
)),
_xlfn.UNIQUE(_xlfn._xlws.FILTER(
  '2. Creation of "profiles"'!$E2:$E1000,
  (
    (G2='3. Link of "Profiles" to beds'!$A2:$A1000) *
    ('2. Creation of "profiles"'!$B2:$B1000 = '3. Link of "Profiles" to beds'!F2:F1000) *
    ('2. Creation of "profiles"'!$C2:$C1000="Active conditions") *
    ('2. Creation of "profiles"'!$F2:$F1000=G4)
  ) &gt; 0,
  "no rules for active conditions"
)),
_xlfn.UNIQUE(_xlfn._xlws.FILTER(
  '2. Creation of "profiles"'!$E2:$E1000,
  (
    (G2='3. Link of "Profiles" to beds'!$A2:$A1000) *
    ('2. Creation of "profiles"'!D2:D1000 = '3. Link of "Profiles" to beds'!G2:G1000) *
    ('2. Creation of "profiles"'!E2:E1000="Comorbidities") *
    ('2. Creation of "profiles"'!J2:J1000=G4)
  ) &gt; 0,
  "no rules for comorbidities"
)),
_xlfn.UNIQUE(_xlfn._xlws.FILTER(
  '2. Creation of "profiles"'!$E2:$E1000,
  (
    (G2='3. Link of "Profiles" to beds'!$A2:$A1000) *
    ('2. Creation of "profiles"'!$B2:$B1000 = '3. Link of "Profiles" to beds'!$F2:$F1000) *
    ('2. Creation of "profiles"'!$C2:$C1000="Predicted risks") *
    ('2. Creation of "profiles"'!$F2:$F1000=G4)
  ) &gt; 0,
  "no rules for predicted risks"
))
)</f>
        <v/>
      </c>
      <c r="I6" s="12">
        <f t="array" ref="I6:I11">_xlfn.VSTACK(
(_xlfn._xlws.FILTER(
  '2. Creation of "profiles"'!$C2:$C1000,
  (
    ('2. Creation of "profiles"'!$F2:$F1000=I4) *
    (J2='2. Creation of "profiles"'!$B2:$B1000)
  ),
  ""
)),
(_xlfn._xlws.FILTER(
  '2. Creation of "profiles"'!$C2:$C1000,
  (
    (I2='3. Link of "Profiles" to beds'!$A2:$A1000) *
    ('2. Creation of "profiles"'!$B2:$B1000 = '3. Link of "Profiles" to beds'!J2:J1000) *
    ('2. Creation of "profiles"'!$C2:$C1000="Active conditions") *
    ('2. Creation of "profiles"'!$F2:$F1000=I4)
  ) &gt; 0,
  ""
)),
(_xlfn._xlws.FILTER(
  '2. Creation of "profiles"'!$C2:$C1000,
  (
    (I2='3. Link of "Profiles" to beds'!$A2:$A1000) *
    ('2. Creation of "profiles"'!H2:H1000 = '3. Link of "Profiles" to beds'!K2:K1000) *
    ('2. Creation of "profiles"'!I2:I1000="Comorbidities") *
    ('2. Creation of "profiles"'!L2:L1000=I4)
  ) &gt; 0,
  ""
)),
(_xlfn._xlws.FILTER(
  '2. Creation of "profiles"'!$C2:$C1000,
  (
    (I2='3. Link of "Profiles" to beds'!$A2:$A1000) *
    ('2. Creation of "profiles"'!$B2:$B1000 = '3. Link of "Profiles" to beds'!$F2:$F1000) *
    ('2. Creation of "profiles"'!$C2:$C1000="Predicted risks") *
    ('2. Creation of "profiles"'!$F2:$F1000=I4)
  ) &gt; 0,
  ""
))
)</f>
        <v/>
      </c>
      <c r="J6" s="2">
        <f t="array" ref="J6:J11">_xlfn.VSTACK(
_xlfn.UNIQUE(_xlfn._xlws.FILTER(
  '2. Creation of "profiles"'!$E2:$E1000,
  (
    ('2. Creation of "profiles"'!$F2:$F1000=I4) *
    (J2='2. Creation of "profiles"'!$B2:$B1000)
  ),
  "no rules for patient profile"
)),
_xlfn.UNIQUE(_xlfn._xlws.FILTER(
  '2. Creation of "profiles"'!$E2:$E1000,
  (
    (I2='3. Link of "Profiles" to beds'!$A2:$A1000) *
    ('2. Creation of "profiles"'!$B2:$B1000 = '3. Link of "Profiles" to beds'!H2:H1000) *
    ('2. Creation of "profiles"'!$C2:$C1000="Active conditions") *
    ('2. Creation of "profiles"'!$F2:$F1000=I4)
  ) &gt; 0,
  "no rules for active conditions"
)),
_xlfn.UNIQUE(_xlfn._xlws.FILTER(
  '2. Creation of "profiles"'!$E2:$E1000,
  (
    (I2='3. Link of "Profiles" to beds'!$A2:$A1000) *
    ('2. Creation of "profiles"'!F2:F1000 = '3. Link of "Profiles" to beds'!I2:I1000) *
    ('2. Creation of "profiles"'!I2:I1000="Comorbidities") *
    ('2. Creation of "profiles"'!L2:L1000=I4)
  ) &gt; 0,
  "no rules for comorbidities"
)),
_xlfn.UNIQUE(_xlfn._xlws.FILTER(
  '2. Creation of "profiles"'!$E2:$E1000,
  (
    (I2='3. Link of "Profiles" to beds'!$A2:$A1000) *
    ('2. Creation of "profiles"'!$B2:$B1000 = '3. Link of "Profiles" to beds'!$F2:$F1000) *
    ('2. Creation of "profiles"'!$C2:$C1000="Predicted risks") *
    ('2. Creation of "profiles"'!$F2:$F1000=I4)
  ) &gt; 0,
  "no rules for predicted risks"
))
)</f>
        <v/>
      </c>
      <c r="K6" s="12">
        <f t="array" ref="K6:K9">_xlfn.VSTACK(
(_xlfn._xlws.FILTER(
  '2. Creation of "profiles"'!$C2:$C1000,
  (
    ('2. Creation of "profiles"'!$F2:$F1000=K4) *
    (L2='2. Creation of "profiles"'!$B2:$B1000)
  ),
  ""
)),
(_xlfn._xlws.FILTER(
  '2. Creation of "profiles"'!$C2:$C1000,
  (
    (K2='3. Link of "Profiles" to beds'!$A2:$A1000) *
    ('2. Creation of "profiles"'!$B2:$B1000 = '3. Link of "Profiles" to beds'!L2:L1000) *
    ('2. Creation of "profiles"'!$C2:$C1000="Active conditions") *
    ('2. Creation of "profiles"'!$F2:$F1000=K4)
  ) &gt; 0,
  ""
)),
(_xlfn._xlws.FILTER(
  '2. Creation of "profiles"'!$C2:$C1000,
  (
    (K2='3. Link of "Profiles" to beds'!$A2:$A1000) *
    ('2. Creation of "profiles"'!J2:J1000 = '3. Link of "Profiles" to beds'!M2:M1000) *
    ('2. Creation of "profiles"'!K2:K1000="Comorbidities") *
    ('2. Creation of "profiles"'!N2:N1000=K4)
  ) &gt; 0,
  ""
)),
(_xlfn._xlws.FILTER(
  '2. Creation of "profiles"'!$C2:$C1000,
  (
    (K2='3. Link of "Profiles" to beds'!$A2:$A1000) *
    ('2. Creation of "profiles"'!$B2:$B1000 = '3. Link of "Profiles" to beds'!$F2:$F1000) *
    ('2. Creation of "profiles"'!$C2:$C1000="Predicted risks") *
    ('2. Creation of "profiles"'!$F2:$F1000=K4)
  ) &gt; 0,
  ""
))
)</f>
        <v/>
      </c>
      <c r="L6" s="2">
        <f t="array" ref="L6:L9">_xlfn.VSTACK(
_xlfn.UNIQUE(_xlfn._xlws.FILTER(
  '2. Creation of "profiles"'!$E2:$E1000,
  (
    ('2. Creation of "profiles"'!$F2:$F1000=K4) *
    (L2='2. Creation of "profiles"'!$B2:$B1000)
  ),
  "no rules for patient profile"
)),
_xlfn.UNIQUE(_xlfn._xlws.FILTER(
  '2. Creation of "profiles"'!$E2:$E1000,
  (
    (K2='3. Link of "Profiles" to beds'!$A2:$A1000) *
    ('2. Creation of "profiles"'!$B2:$B1000 = '3. Link of "Profiles" to beds'!J2:J1000) *
    ('2. Creation of "profiles"'!$C2:$C1000="Active conditions") *
    ('2. Creation of "profiles"'!$F2:$F1000=K4)
  ) &gt; 0,
  "no rules for active conditions"
)),
_xlfn.UNIQUE(_xlfn._xlws.FILTER(
  '2. Creation of "profiles"'!$E2:$E1000,
  (
    (K2='3. Link of "Profiles" to beds'!$A2:$A1000) *
    ('2. Creation of "profiles"'!J2:J1000 = '3. Link of "Profiles" to beds'!K2:K1000) *
    ('2. Creation of "profiles"'!K2:K1000="Comorbidities") *
    ('2. Creation of "profiles"'!P2:P1000=K4)
  ) &gt; 0,
  "no rules for comorbidities"
)),
_xlfn.UNIQUE(_xlfn._xlws.FILTER(
  '2. Creation of "profiles"'!$E2:$E1000,
  (
    (K2='3. Link of "Profiles" to beds'!$A2:$A1000) *
    ('2. Creation of "profiles"'!$B2:$B1000 = '3. Link of "Profiles" to beds'!$F2:$F1000) *
    ('2. Creation of "profiles"'!$C2:$C1000="Predicted risks") *
    ('2. Creation of "profiles"'!$F2:$F1000=K4)
  ) &gt; 0,
  "no rules for predicted risks"
))
)</f>
        <v/>
      </c>
      <c r="M6" s="12">
        <f t="array" ref="M6:M9">_xlfn.VSTACK(
(_xlfn._xlws.FILTER(
  '2. Creation of "profiles"'!$C2:$C1000,
  (
    ('2. Creation of "profiles"'!$F2:$F1000=M4) *
    (N2='2. Creation of "profiles"'!$B2:$B1000)
  ),
  ""
)),
(_xlfn._xlws.FILTER(
  '2. Creation of "profiles"'!$C2:$C1000,
  (
    (M2='3. Link of "Profiles" to beds'!$A2:$A1000) *
    ('2. Creation of "profiles"'!$B2:$B1000 = '3. Link of "Profiles" to beds'!N2:N1000) *
    ('2. Creation of "profiles"'!$C2:$C1000="Active conditions") *
    ('2. Creation of "profiles"'!$F2:$F1000=M4)
  ) &gt; 0,
  ""
)),
(_xlfn._xlws.FILTER(
  '2. Creation of "profiles"'!$C2:$C1000,
  (
    (M2='3. Link of "Profiles" to beds'!$A2:$A1000) *
    ('2. Creation of "profiles"'!L2:L1000 = '3. Link of "Profiles" to beds'!O2:O1000) *
    ('2. Creation of "profiles"'!M2:M1000="Comorbidities") *
    ('2. Creation of "profiles"'!P2:P1000=M4)
  ) &gt; 0,
  ""
)),
(_xlfn._xlws.FILTER(
  '2. Creation of "profiles"'!$C2:$C1000,
  (
    (M2='3. Link of "Profiles" to beds'!$A2:$A1000) *
    ('2. Creation of "profiles"'!$B2:$B1000 = '3. Link of "Profiles" to beds'!$F2:$F1000) *
    ('2. Creation of "profiles"'!$C2:$C1000="Predicted risks") *
    ('2. Creation of "profiles"'!$F2:$F1000=M4)
  ) &gt; 0,
  ""
))
)</f>
        <v/>
      </c>
      <c r="N6" s="18">
        <f t="array" ref="N6:N9">_xlfn.VSTACK(
_xlfn.UNIQUE(_xlfn._xlws.FILTER(
  '2. Creation of "profiles"'!$E2:$E1000,
  (
    ('2. Creation of "profiles"'!$F2:$F1000=M4) *
    (N2='2. Creation of "profiles"'!$B2:$B1000)
  ),
  "no rules for patient profile"
)),
_xlfn.UNIQUE(_xlfn._xlws.FILTER(
  '2. Creation of "profiles"'!$E2:$E1000,
  (
    (M2='3. Link of "Profiles" to beds'!$A2:$A1000) *
    ('2. Creation of "profiles"'!$B2:$B1000 = '3. Link of "Profiles" to beds'!L2:L1000) *
    ('2. Creation of "profiles"'!$C2:$C1000="Active conditions") *
    ('2. Creation of "profiles"'!$F2:$F1000=M4)
  ) &gt; 0,
  "no rules for active conditions"
)),
_xlfn.UNIQUE(_xlfn._xlws.FILTER(
  '2. Creation of "profiles"'!$E2:$E1000,
  (
    (M2='3. Link of "Profiles" to beds'!$A2:$A1000) *
    ('2. Creation of "profiles"'!L2:L1000 = '3. Link of "Profiles" to beds'!M2:M1000) *
    ('2. Creation of "profiles"'!O2:O1000="Comorbidities") *
    ('2. Creation of "profiles"'!R2:R1000=M4)
  ) &gt; 0,
  "no rules for comorbidities"
)),
_xlfn.UNIQUE(_xlfn._xlws.FILTER(
  '2. Creation of "profiles"'!$E2:$E1000,
  (
    (M2='3. Link of "Profiles" to beds'!$A2:$A1000) *
    ('2. Creation of "profiles"'!$B2:$B1000 = '3. Link of "Profiles" to beds'!$F2:$F1000) *
    ('2. Creation of "profiles"'!$C2:$C1000="Predicted risks") *
    ('2. Creation of "profiles"'!$F2:$F1000=M4)
  ) &gt; 0,
  "no rules for predicted risks"
))
)</f>
        <v/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29.1" customFormat="1" customHeight="1" s="3">
      <c r="A7" s="12" t="n"/>
      <c r="B7" s="2" t="n"/>
      <c r="C7" s="12" t="str"/>
      <c r="D7" s="2" t="inlineStr">
        <is>
          <t>no rules for active conditions</t>
        </is>
      </c>
      <c r="E7" s="12" t="inlineStr">
        <is>
          <t>Ward</t>
        </is>
      </c>
      <c r="F7" s="2" t="inlineStr">
        <is>
          <t>EX-C2-7-1: filtering out non-actionable low SpO2 alarms</t>
        </is>
      </c>
      <c r="G7" s="12" t="inlineStr">
        <is>
          <t>Ward</t>
        </is>
      </c>
      <c r="H7" s="2" t="inlineStr">
        <is>
          <t>EX-C2-7-1: filtering out non-actionable low SpO2 alarms</t>
        </is>
      </c>
      <c r="I7" s="12" t="inlineStr">
        <is>
          <t>Ward</t>
        </is>
      </c>
      <c r="J7" s="2" t="inlineStr">
        <is>
          <t>EX-C2-7-1: filtering out non-actionable low SpO2 alarms</t>
        </is>
      </c>
      <c r="K7" s="12" t="str"/>
      <c r="L7" s="2" t="inlineStr">
        <is>
          <t>no rules for active conditions</t>
        </is>
      </c>
      <c r="M7" s="12" t="str"/>
      <c r="N7" s="18" t="inlineStr">
        <is>
          <t>no rules for active conditions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29.1" customFormat="1" customHeight="1" s="3">
      <c r="A8" s="12" t="n"/>
      <c r="B8" s="2" t="n"/>
      <c r="C8" s="12" t="str"/>
      <c r="D8" s="2" t="inlineStr">
        <is>
          <t>no rules for comorbidities</t>
        </is>
      </c>
      <c r="E8" s="12" t="inlineStr">
        <is>
          <t>Ward</t>
        </is>
      </c>
      <c r="F8" s="2" t="inlineStr">
        <is>
          <t>EX-C1-1 : filtering out non-actionable high ABP alarm</t>
        </is>
      </c>
      <c r="G8" s="12" t="inlineStr">
        <is>
          <t>Ward</t>
        </is>
      </c>
      <c r="H8" s="2" t="inlineStr">
        <is>
          <t>EX-C1-1 : filtering out non-actionable high ABP alarm</t>
        </is>
      </c>
      <c r="I8" s="12" t="inlineStr">
        <is>
          <t>Ward</t>
        </is>
      </c>
      <c r="J8" s="2" t="inlineStr">
        <is>
          <t>EX-C1-1 : filtering out non-actionable high ABP alarm</t>
        </is>
      </c>
      <c r="K8" s="12" t="str"/>
      <c r="L8" s="2" t="inlineStr">
        <is>
          <t>no rules for comorbidities</t>
        </is>
      </c>
      <c r="M8" s="12" t="str"/>
      <c r="N8" s="18" t="inlineStr">
        <is>
          <t>no rules for comorbidities</t>
        </is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29.1" customFormat="1" customHeight="1" s="3">
      <c r="A9" s="12" t="n"/>
      <c r="B9" s="2" t="n"/>
      <c r="C9" s="12" t="str"/>
      <c r="D9" s="2" t="inlineStr">
        <is>
          <t>no rules for predicted risks</t>
        </is>
      </c>
      <c r="E9" s="12" t="str"/>
      <c r="F9" s="2" t="inlineStr">
        <is>
          <t>no rules for active conditions</t>
        </is>
      </c>
      <c r="G9" s="12" t="str"/>
      <c r="H9" s="2" t="inlineStr">
        <is>
          <t>no rules for active conditions</t>
        </is>
      </c>
      <c r="I9" s="12" t="str"/>
      <c r="J9" s="2" t="inlineStr">
        <is>
          <t>no rules for active conditions</t>
        </is>
      </c>
      <c r="K9" s="12" t="str"/>
      <c r="L9" s="2" t="inlineStr">
        <is>
          <t>no rules for predicted risks</t>
        </is>
      </c>
      <c r="M9" s="12" t="str"/>
      <c r="N9" s="18" t="inlineStr">
        <is>
          <t>no rules for predicted risks</t>
        </is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customFormat="1" s="3">
      <c r="A10" s="12" t="n"/>
      <c r="B10" s="2" t="n"/>
      <c r="C10" s="12" t="n"/>
      <c r="D10" s="2" t="n"/>
      <c r="E10" s="12" t="str"/>
      <c r="F10" s="2" t="inlineStr">
        <is>
          <t>no rules for comorbidities</t>
        </is>
      </c>
      <c r="G10" s="12" t="str"/>
      <c r="H10" s="2" t="inlineStr">
        <is>
          <t>no rules for comorbidities</t>
        </is>
      </c>
      <c r="I10" s="12" t="str"/>
      <c r="J10" s="2" t="inlineStr">
        <is>
          <t>no rules for comorbidities</t>
        </is>
      </c>
      <c r="K10" s="12" t="n"/>
      <c r="L10" s="2" t="n"/>
      <c r="M10" s="12" t="n"/>
      <c r="N10" s="18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customFormat="1" s="3">
      <c r="A11" s="12" t="n"/>
      <c r="B11" s="2" t="n"/>
      <c r="C11" s="12" t="n"/>
      <c r="D11" s="2" t="n"/>
      <c r="E11" s="12" t="str"/>
      <c r="F11" s="2" t="inlineStr">
        <is>
          <t>no rules for predicted risks</t>
        </is>
      </c>
      <c r="G11" s="12" t="str"/>
      <c r="H11" s="2" t="inlineStr">
        <is>
          <t>no rules for predicted risks</t>
        </is>
      </c>
      <c r="I11" s="12" t="str"/>
      <c r="J11" s="2" t="inlineStr">
        <is>
          <t>no rules for predicted risks</t>
        </is>
      </c>
      <c r="K11" s="12" t="n"/>
      <c r="L11" s="2" t="n"/>
      <c r="M11" s="12" t="n"/>
      <c r="N11" s="18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13" t="n"/>
      <c r="B12" s="3" t="n"/>
      <c r="C12" s="13" t="n"/>
      <c r="D12" s="3" t="n"/>
      <c r="E12" s="13" t="n"/>
      <c r="F12" s="3" t="n"/>
      <c r="G12" s="13" t="n"/>
      <c r="H12" s="3" t="n"/>
      <c r="I12" s="13" t="n"/>
      <c r="J12" s="3" t="n"/>
      <c r="K12" s="13" t="n"/>
      <c r="L12" s="3" t="n"/>
      <c r="M12" s="13" t="n"/>
      <c r="N12" s="14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>
      <c r="A13" s="13" t="n"/>
      <c r="B13" s="3" t="n"/>
      <c r="C13" s="13" t="n"/>
      <c r="D13" s="3" t="n"/>
      <c r="E13" s="13" t="n"/>
      <c r="F13" s="3" t="n"/>
      <c r="G13" s="13" t="n"/>
      <c r="H13" s="3" t="n"/>
      <c r="I13" s="13" t="n"/>
      <c r="J13" s="3" t="n"/>
      <c r="K13" s="13" t="n"/>
      <c r="L13" s="3" t="n"/>
      <c r="M13" s="13" t="n"/>
      <c r="N13" s="14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</sheetData>
  <mergeCells count="7">
    <mergeCell ref="A4:B4"/>
    <mergeCell ref="G4:H4"/>
    <mergeCell ref="E4:F4"/>
    <mergeCell ref="I4:J4"/>
    <mergeCell ref="K4:L4"/>
    <mergeCell ref="M4:N4"/>
    <mergeCell ref="C4:D4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1:V19"/>
  <sheetViews>
    <sheetView topLeftCell="C1" workbookViewId="0">
      <selection activeCell="F24" sqref="F24"/>
    </sheetView>
  </sheetViews>
  <sheetFormatPr baseColWidth="8" defaultRowHeight="15"/>
  <cols>
    <col width="14.85546875" customWidth="1" min="7" max="7"/>
    <col width="49.140625" customWidth="1" min="8" max="8"/>
    <col width="15.5703125" customWidth="1" min="9" max="9"/>
    <col hidden="1" width="13" customWidth="1" min="10" max="16"/>
    <col width="18.140625" customWidth="1" min="17" max="17"/>
    <col width="18" customWidth="1" min="18" max="18"/>
    <col width="12.7109375" customWidth="1" min="19" max="19"/>
    <col width="13.5703125" customWidth="1" min="20" max="20"/>
    <col width="12.5703125" customWidth="1" min="21" max="21"/>
    <col width="12.140625" customWidth="1" min="22" max="22"/>
  </cols>
  <sheetData>
    <row r="1">
      <c r="G1" s="22" t="inlineStr">
        <is>
          <t>Bed ID</t>
        </is>
      </c>
      <c r="H1" s="22" t="inlineStr">
        <is>
          <t>Ward</t>
        </is>
      </c>
    </row>
    <row r="2">
      <c r="G2" s="21">
        <f t="array" ref="G2">IF(MOD(COLUMN()-COLUMN($A$2),2)=0, INDEX('3. Link of "Profiles" to beds'!$A$2:$A$8, (COLUMN()-COLUMN($A$2))/2+1), "")</f>
        <v/>
      </c>
      <c r="H2" s="21">
        <f t="array" ref="H2">IF(MOD(COLUMN()-COLUMN($B$2),2)=0, INDEX('3. Link of "Profiles" to beds'!$B$2:$B$8, (COLUMN()-COLUMN($B$2))/2+1), "")</f>
        <v/>
      </c>
    </row>
    <row r="3">
      <c r="G3" s="27" t="n"/>
      <c r="H3" s="27" t="n">
        <v>2</v>
      </c>
    </row>
    <row r="4" ht="87" customHeight="1">
      <c r="G4" s="24" t="inlineStr">
        <is>
          <t>Field</t>
        </is>
      </c>
      <c r="H4" s="24" t="inlineStr">
        <is>
          <t>Processing Rule</t>
        </is>
      </c>
      <c r="I4" s="25">
        <f t="array" ref="I4:V4">'2. Creation of "profiles"'!G1:T1</f>
        <v/>
      </c>
      <c r="J4" s="26" t="inlineStr">
        <is>
          <t>low SpO2 riemann integral threshold</t>
        </is>
      </c>
      <c r="K4" s="26" t="inlineStr">
        <is>
          <t>low HR threshold</t>
        </is>
      </c>
      <c r="L4" s="26" t="inlineStr">
        <is>
          <t>high HR threshold</t>
        </is>
      </c>
      <c r="M4" s="26" t="inlineStr">
        <is>
          <t>low ABP threshold</t>
        </is>
      </c>
      <c r="N4" s="26" t="inlineStr">
        <is>
          <t>high ABP threshold</t>
        </is>
      </c>
      <c r="O4" s="26" t="inlineStr">
        <is>
          <t>low average ABP threshold</t>
        </is>
      </c>
      <c r="P4" s="26" t="inlineStr">
        <is>
          <t>low average ABP threshold</t>
        </is>
      </c>
      <c r="Q4" s="26" t="inlineStr">
        <is>
          <t>high MEWS score threshold</t>
        </is>
      </c>
      <c r="R4" s="26" t="inlineStr">
        <is>
          <t>high HR MEWS attribute threshold</t>
        </is>
      </c>
      <c r="S4" s="26" t="inlineStr">
        <is>
          <t>high RR MEWS attribute threshold</t>
        </is>
      </c>
      <c r="T4" s="26" t="inlineStr">
        <is>
          <t>high Temp MEWS attribute threshold</t>
        </is>
      </c>
      <c r="U4" s="26" t="inlineStr">
        <is>
          <t>high SpO2 MEWS attribute threshold</t>
        </is>
      </c>
      <c r="V4" s="26" t="inlineStr">
        <is>
          <t>high BP MEWS attribute threshold</t>
        </is>
      </c>
    </row>
    <row r="5">
      <c r="G5" s="21" t="inlineStr">
        <is>
          <t>Ward</t>
        </is>
      </c>
      <c r="H5" s="21">
        <f t="array" ref="H5:H7">_xlfn._xlws.FILTER(
  '2. Creation of "profiles"'!$E2:$E1000,
  (
    ('2. Creation of "profiles"'!$F2:$F1000="Processing") *
    (H2='2. Creation of "profiles"'!$B2:$B1000)
  ),
  "no rules for ward"
)</f>
        <v/>
      </c>
      <c r="I5" s="21">
        <f t="array" ref="I5:V7">_xlfn._xlws.FILTER(
  '2. Creation of "profiles"'!$G2:$T1000,
  (
    ('2. Creation of "profiles"'!$F2:$F1000="Processing") *
    (H2='2. Creation of "profiles"'!$B2:$B1000)
  ),
  "no rules for ward"
)</f>
        <v/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0</v>
      </c>
      <c r="U5" s="21" t="n">
        <v>0</v>
      </c>
      <c r="V5" s="21" t="n">
        <v>0</v>
      </c>
    </row>
    <row r="6">
      <c r="G6" s="21" t="inlineStr">
        <is>
          <t>Ward</t>
        </is>
      </c>
      <c r="H6" s="21" t="inlineStr">
        <is>
          <t>EX-C3-1 : advisory deterioration based on MEWS score</t>
        </is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5</v>
      </c>
      <c r="R6" s="21" t="n">
        <v>10</v>
      </c>
      <c r="S6" s="21" t="n">
        <v>10</v>
      </c>
      <c r="T6" s="21" t="n">
        <v>10</v>
      </c>
      <c r="U6" s="21" t="n">
        <v>10</v>
      </c>
      <c r="V6" s="21" t="n">
        <v>10</v>
      </c>
    </row>
    <row r="7">
      <c r="G7" s="21" t="inlineStr">
        <is>
          <t>Ward</t>
        </is>
      </c>
      <c r="H7" s="21" t="inlineStr">
        <is>
          <t>EX-C1-1 : filtering out non-actionable high ABP alarm</t>
        </is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</row>
    <row r="8">
      <c r="G8" s="21" t="inlineStr">
        <is>
          <t>Active conditions</t>
        </is>
      </c>
      <c r="H8" s="21">
        <f t="array" ref="H8">_xlfn._xlws.FILTER('2. Creation of "profiles"'!E:E,('2. Creation of "profiles"'!F:F="Processing")*('2. Creation of "profiles"'!C:C='Overview Processing vs Beds'!G8)*(_xlfn._xlws.FILTER('3. Link of "Profiles" to beds'!D:D,'3. Link of "Profiles" to beds'!A:A='Overview Processing vs Beds'!G2)='2. Creation of "profiles"'!B:B),"none")</f>
        <v/>
      </c>
      <c r="I8" s="21">
        <f t="array" ref="I8">_xlfn._xlws.FILTER('2. Creation of "profiles"'!G:T,('2. Creation of "profiles"'!F:F="Processing")*('2. Creation of "profiles"'!C:C='Overview Processing vs Beds'!G8)*(_xlfn._xlws.FILTER('3. Link of "Profiles" to beds'!D:D,'3. Link of "Profiles" to beds'!A:A='Overview Processing vs Beds'!G2)='2. Creation of "profiles"'!B:B),"none")</f>
        <v/>
      </c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G9" s="21" t="inlineStr">
        <is>
          <t>Comorbidities</t>
        </is>
      </c>
      <c r="H9" s="21">
        <f t="array" ref="H9">_xlfn._xlws.FILTER('2. Creation of "profiles"'!E:E,('2. Creation of "profiles"'!F:F="Processing")*('2. Creation of "profiles"'!C:C='Overview Processing vs Beds'!G9)*(_xlfn._xlws.FILTER('3. Link of "Profiles" to beds'!E:E,'3. Link of "Profiles" to beds'!A:A='Overview Processing vs Beds'!G2)='2. Creation of "profiles"'!B:B),"none")</f>
        <v/>
      </c>
      <c r="I9" s="21">
        <f t="array" ref="I9:V9">_xlfn._xlws.FILTER('2. Creation of "profiles"'!G:T,('2. Creation of "profiles"'!F:F="Processing")*('2. Creation of "profiles"'!C:C='Overview Processing vs Beds'!G9)*(_xlfn._xlws.FILTER('3. Link of "Profiles" to beds'!E:E,'3. Link of "Profiles" to beds'!A:A='Overview Processing vs Beds'!G2)='2. Creation of "profiles"'!B:B),"none")</f>
        <v/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</row>
    <row r="10">
      <c r="G10" s="21" t="inlineStr">
        <is>
          <t>Predicted risks</t>
        </is>
      </c>
      <c r="H10" s="21">
        <f t="array" ref="H10">_xlfn._xlws.FILTER('2. Creation of "profiles"'!E:E,('2. Creation of "profiles"'!F:F="Processing")*('2. Creation of "profiles"'!C:C='Overview Processing vs Beds'!G10)*(_xlfn._xlws.FILTER('3. Link of "Profiles" to beds'!F:F,'3. Link of "Profiles" to beds'!A:A='Overview Processing vs Beds'!G2)='2. Creation of "profiles"'!B:B),"none")</f>
        <v/>
      </c>
      <c r="I10" s="21">
        <f t="array" ref="I10:V10">_xlfn._xlws.FILTER('2. Creation of "profiles"'!G:T,('2. Creation of "profiles"'!F:F="Processing")*('2. Creation of "profiles"'!C:C='Overview Processing vs Beds'!G10)*(_xlfn._xlws.FILTER('3. Link of "Profiles" to beds'!F:F,'3. Link of "Profiles" to beds'!A:A='Overview Processing vs Beds'!G2)='2. Creation of "profiles"'!B:B),"none")</f>
        <v/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5</v>
      </c>
      <c r="R10" s="21" t="n">
        <v>2</v>
      </c>
      <c r="S10" s="21" t="n">
        <v>2</v>
      </c>
      <c r="T10" s="21" t="n">
        <v>2</v>
      </c>
      <c r="U10" s="21" t="n">
        <v>10</v>
      </c>
      <c r="V10" s="21" t="n">
        <v>10</v>
      </c>
    </row>
    <row r="13" ht="57.75" customHeight="1">
      <c r="G13" s="24" t="inlineStr">
        <is>
          <t>Field</t>
        </is>
      </c>
      <c r="H13" s="29" t="inlineStr">
        <is>
          <t>Filtering Workflow</t>
        </is>
      </c>
      <c r="I13" s="16">
        <f t="array" ref="I13:V13">'2. Creation of "profiles"'!G1:T1</f>
        <v/>
      </c>
      <c r="J13" s="16" t="inlineStr">
        <is>
          <t>low SpO2 riemann integral threshold</t>
        </is>
      </c>
      <c r="K13" s="16" t="inlineStr">
        <is>
          <t>low HR threshold</t>
        </is>
      </c>
      <c r="L13" s="16" t="inlineStr">
        <is>
          <t>high HR threshold</t>
        </is>
      </c>
      <c r="M13" s="16" t="inlineStr">
        <is>
          <t>low ABP threshold</t>
        </is>
      </c>
      <c r="N13" s="16" t="inlineStr">
        <is>
          <t>high ABP threshold</t>
        </is>
      </c>
      <c r="O13" s="16" t="inlineStr">
        <is>
          <t>low average ABP threshold</t>
        </is>
      </c>
      <c r="P13" s="16" t="inlineStr">
        <is>
          <t>low average ABP threshold</t>
        </is>
      </c>
      <c r="Q13" s="16" t="inlineStr">
        <is>
          <t>high MEWS score threshold</t>
        </is>
      </c>
      <c r="R13" s="16" t="inlineStr">
        <is>
          <t>high HR MEWS attribute threshold</t>
        </is>
      </c>
      <c r="S13" s="16" t="inlineStr">
        <is>
          <t>high RR MEWS attribute threshold</t>
        </is>
      </c>
      <c r="T13" s="16" t="inlineStr">
        <is>
          <t>high Temp MEWS attribute threshold</t>
        </is>
      </c>
      <c r="U13" s="16" t="inlineStr">
        <is>
          <t>high SpO2 MEWS attribute threshold</t>
        </is>
      </c>
      <c r="V13" s="16" t="inlineStr">
        <is>
          <t>high BP MEWS attribute threshold</t>
        </is>
      </c>
    </row>
    <row r="14">
      <c r="G14" s="28" t="inlineStr">
        <is>
          <t>Ward</t>
        </is>
      </c>
      <c r="H14" s="21">
        <f t="array" ref="H14:H16">_xlfn._xlws.FILTER(
  '2. Creation of "profiles"'!$E2:$E1000,
  (
    ('2. Creation of "profiles"'!$F2:$F1000="Filtering") *
    (H2='2. Creation of "profiles"'!$B2:$B1000)
  ),
  "no rules for ward"
)</f>
        <v/>
      </c>
      <c r="I14" s="21">
        <f t="array" ref="I14:V16">_xlfn._xlws.FILTER(
  '2. Creation of "profiles"'!$G2:$T1000,
  (
    ('2. Creation of "profiles"'!$F2:$F1000="Filtering") *
    (H2='2. Creation of "profiles"'!$B2:$B1000)
  ),
  "no rules for ward"
)</f>
        <v/>
      </c>
      <c r="J14" s="21" t="n">
        <v>0</v>
      </c>
      <c r="K14" s="21" t="n">
        <v>40</v>
      </c>
      <c r="L14" s="21" t="n">
        <v>120</v>
      </c>
      <c r="M14" s="21" t="n">
        <v>60</v>
      </c>
      <c r="N14" s="21" t="n">
        <v>140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</row>
    <row r="15">
      <c r="G15" s="28" t="inlineStr">
        <is>
          <t>Ward</t>
        </is>
      </c>
      <c r="H15" s="21" t="inlineStr">
        <is>
          <t>EX-C2-7-1: filtering out non-actionable low SpO2 alarms</t>
        </is>
      </c>
      <c r="I15" s="21" t="n">
        <v>98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</row>
    <row r="16">
      <c r="G16" s="28" t="inlineStr">
        <is>
          <t>Ward</t>
        </is>
      </c>
      <c r="H16" s="21" t="inlineStr">
        <is>
          <t>EX-C1-1 : filtering out non-actionable high ABP alarm</t>
        </is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150</v>
      </c>
      <c r="O16" s="21" t="n">
        <v>95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</row>
    <row r="17">
      <c r="G17" s="28" t="inlineStr">
        <is>
          <t>Active conditions</t>
        </is>
      </c>
      <c r="H17" s="21">
        <f t="array" ref="H17">_xlfn._xlws.FILTER('2. Creation of "profiles"'!E:E,('2. Creation of "profiles"'!F:F="Filtering")*('2. Creation of "profiles"'!C:C='Overview Processing vs Beds'!G8)*(_xlfn._xlws.FILTER('3. Link of "Profiles" to beds'!D:D,'3. Link of "Profiles" to beds'!A:A='Overview Processing vs Beds'!G2)='2. Creation of "profiles"'!B:B),"none")</f>
        <v/>
      </c>
      <c r="I17" s="21">
        <f t="array" ref="I17">_xlfn._xlws.FILTER('2. Creation of "profiles"'!G:T,('2. Creation of "profiles"'!F:F="Filtering")*('2. Creation of "profiles"'!C:C='Overview Processing vs Beds'!G8)*(_xlfn._xlws.FILTER('3. Link of "Profiles" to beds'!D:D,'3. Link of "Profiles" to beds'!A:A='Overview Processing vs Beds'!G2)='2. Creation of "profiles"'!B:B),"none")</f>
        <v/>
      </c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G18" s="28" t="inlineStr">
        <is>
          <t>Comorbidities</t>
        </is>
      </c>
      <c r="H18" s="21">
        <f t="array" ref="H18">_xlfn._xlws.FILTER('2. Creation of "profiles"'!E:E,('2. Creation of "profiles"'!F:F="Filtering")*('2. Creation of "profiles"'!C:C='Overview Processing vs Beds'!G9)*(_xlfn._xlws.FILTER('3. Link of "Profiles" to beds'!E:E,'3. Link of "Profiles" to beds'!A:A='Overview Processing vs Beds'!G2)='2. Creation of "profiles"'!B:B),"none")</f>
        <v/>
      </c>
      <c r="I18" s="21">
        <f t="array" ref="I18:V18">_xlfn._xlws.FILTER('2. Creation of "profiles"'!G:T,('2. Creation of "profiles"'!F:F="Filtering")*('2. Creation of "profiles"'!C:C='Overview Processing vs Beds'!G9)*(_xlfn._xlws.FILTER('3. Link of "Profiles" to beds'!E:E,'3. Link of "Profiles" to beds'!A:A='Overview Processing vs Beds'!G2)='2. Creation of "profiles"'!B:B),"none")</f>
        <v/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</row>
    <row r="19">
      <c r="G19" s="28" t="inlineStr">
        <is>
          <t>Predicted risks</t>
        </is>
      </c>
      <c r="H19" s="21">
        <f t="array" ref="H19">_xlfn._xlws.FILTER('2. Creation of "profiles"'!E:E,('2. Creation of "profiles"'!F:F="Filtering")*('2. Creation of "profiles"'!C:C='Overview Processing vs Beds'!G10)*(_xlfn._xlws.FILTER('3. Link of "Profiles" to beds'!F:F,'3. Link of "Profiles" to beds'!A:A='Overview Processing vs Beds'!G2)='2. Creation of "profiles"'!B:B),"none")</f>
        <v/>
      </c>
      <c r="I19" s="21">
        <f t="array" ref="I19">_xlfn._xlws.FILTER('2. Creation of "profiles"'!G:T,('2. Creation of "profiles"'!F:F="Filtering")*('2. Creation of "profiles"'!C:C='Overview Processing vs Beds'!G10)*(_xlfn._xlws.FILTER('3. Link of "Profiles" to beds'!F:F,'3. Link of "Profiles" to beds'!A:A='Overview Processing vs Beds'!G2)='2. Creation of "profiles"'!B:B),"none")</f>
        <v/>
      </c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2025-10-21T12:24:15Z</dcterms:created>
  <dcterms:modified xmlns:dcterms="http://purl.org/dc/terms/" xmlns:xsi="http://www.w3.org/2001/XMLSchema-instance" xsi:type="dcterms:W3CDTF">2025-11-26T15:29:43Z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0x010100E75AC16C33A35C40BECF5CEE84272435</vt:lpwstr>
  </property>
  <property name="MediaServiceImageTags" fmtid="{D5CDD505-2E9C-101B-9397-08002B2CF9AE}" pid="3">
    <vt:lpwstr xmlns:vt="http://schemas.openxmlformats.org/officeDocument/2006/docPropsVTypes"/>
  </property>
</Properties>
</file>
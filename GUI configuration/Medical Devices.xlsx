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2" autoFilterDateGrouping="1"/>
  </bookViews>
  <sheets>
    <sheet xmlns:r="http://schemas.openxmlformats.org/officeDocument/2006/relationships" name="list medical devices" sheetId="1" state="visible" r:id="rId1"/>
    <sheet xmlns:r="http://schemas.openxmlformats.org/officeDocument/2006/relationships" name="alarm conditions" sheetId="2" state="visible" r:id="rId2"/>
    <sheet xmlns:r="http://schemas.openxmlformats.org/officeDocument/2006/relationships" name="Link of &quot;Devices&quot; to bed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tc={BCC5589D-D878-4D77-86E7-93BBCC202723}</author>
    <author>tc={820349C2-D123-4B30-ACDD-5A829AB4ED02}</author>
  </authors>
  <commentList>
    <comment ref="K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breath detected for 20 seconds</t>
      </text>
    </comment>
    <comment ref="M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sudden drop to 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1" sqref="C1:C2"/>
    </sheetView>
  </sheetViews>
  <sheetFormatPr baseColWidth="8" defaultRowHeight="15"/>
  <cols>
    <col width="22.28515625" customWidth="1" min="1" max="1"/>
    <col width="30.42578125" customWidth="1" min="2" max="2"/>
    <col width="48.5703125" customWidth="1" min="3" max="3"/>
  </cols>
  <sheetData>
    <row r="1">
      <c r="A1" s="1" t="inlineStr">
        <is>
          <t>snowmed CT code</t>
        </is>
      </c>
      <c r="B1" s="1" t="inlineStr">
        <is>
          <t>snowmed CT Preferred name</t>
        </is>
      </c>
    </row>
    <row r="2">
      <c r="A2" t="n">
        <v>449071006</v>
      </c>
      <c r="B2" t="inlineStr">
        <is>
          <t>Mechanical ventilator</t>
        </is>
      </c>
    </row>
    <row r="3">
      <c r="A3" t="n">
        <v>706043007</v>
      </c>
      <c r="B3" t="inlineStr">
        <is>
          <t>Patient Monitor</t>
        </is>
      </c>
    </row>
    <row r="4">
      <c r="A4" t="n">
        <v>706041009</v>
      </c>
      <c r="B4" t="inlineStr">
        <is>
          <t>Infusion Pump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C1" sqref="C1"/>
    </sheetView>
  </sheetViews>
  <sheetFormatPr baseColWidth="8" defaultRowHeight="15"/>
  <cols>
    <col width="25.5703125" customWidth="1" min="1" max="1"/>
    <col width="26.5703125" customWidth="1" min="2" max="2"/>
    <col width="22.85546875" customWidth="1" min="3" max="3"/>
    <col width="26.85546875" customWidth="1" min="4" max="4"/>
    <col width="12.42578125" customWidth="1" min="5" max="5"/>
    <col width="13.85546875" customWidth="1" min="12" max="12"/>
    <col width="17.28515625" customWidth="1" min="13" max="13"/>
    <col width="18.28515625" customWidth="1" min="14" max="14"/>
  </cols>
  <sheetData>
    <row r="1">
      <c r="A1" s="1" t="inlineStr">
        <is>
          <t>alarm condition</t>
        </is>
      </c>
      <c r="B1" s="1" t="inlineStr">
        <is>
          <t>SNOMED CT code of finding</t>
        </is>
      </c>
      <c r="C1" s="1" t="inlineStr">
        <is>
          <t>Device</t>
        </is>
      </c>
      <c r="D1" s="1" t="inlineStr">
        <is>
          <t>SNOMED CT code of device</t>
        </is>
      </c>
      <c r="E1" s="1" t="inlineStr">
        <is>
          <t>SpO2</t>
        </is>
      </c>
      <c r="F1" s="1" t="inlineStr">
        <is>
          <t>sys BP</t>
        </is>
      </c>
      <c r="G1" s="1" t="inlineStr">
        <is>
          <t>dia BP</t>
        </is>
      </c>
      <c r="H1" s="1" t="inlineStr">
        <is>
          <t>MAP</t>
        </is>
      </c>
      <c r="I1" s="1" t="inlineStr">
        <is>
          <t>HR</t>
        </is>
      </c>
      <c r="J1" s="1" t="inlineStr">
        <is>
          <t>Temp</t>
        </is>
      </c>
      <c r="K1" s="1" t="inlineStr">
        <is>
          <t>RR</t>
        </is>
      </c>
      <c r="L1" s="1" t="inlineStr">
        <is>
          <t>Peak pressure</t>
        </is>
      </c>
      <c r="M1" s="1" t="inlineStr">
        <is>
          <t>Circuit pressure</t>
        </is>
      </c>
      <c r="N1" s="1" t="inlineStr">
        <is>
          <t>Line pressure</t>
        </is>
      </c>
      <c r="O1" s="1" t="inlineStr">
        <is>
          <t>Volume</t>
        </is>
      </c>
    </row>
    <row r="2">
      <c r="A2" t="inlineStr">
        <is>
          <t>Low SpO₂</t>
        </is>
      </c>
      <c r="B2" t="inlineStr">
        <is>
          <t>271442007</t>
        </is>
      </c>
      <c r="C2" t="inlineStr">
        <is>
          <t>Patient Monitor</t>
        </is>
      </c>
      <c r="D2">
        <f t="array" ref="D2">_xlfn._xlws.FILTER('list medical devices'!A:A,'list medical devices'!B:B='alarm conditions'!C2)</f>
        <v/>
      </c>
      <c r="E2" t="n">
        <v>91</v>
      </c>
    </row>
    <row r="3">
      <c r="A3" t="inlineStr">
        <is>
          <t>High SpO₂</t>
        </is>
      </c>
      <c r="B3" t="inlineStr">
        <is>
          <t>271443002</t>
        </is>
      </c>
      <c r="C3" t="inlineStr">
        <is>
          <t>Patient Monitor</t>
        </is>
      </c>
      <c r="D3">
        <f t="array" ref="D3">_xlfn._xlws.FILTER('list medical devices'!A:A,'list medical devices'!B:B='alarm conditions'!C3)</f>
        <v/>
      </c>
      <c r="E3" t="n">
        <v>99</v>
      </c>
    </row>
    <row r="4">
      <c r="A4" t="inlineStr">
        <is>
          <t>Hypoxemia</t>
        </is>
      </c>
      <c r="B4" t="inlineStr">
        <is>
          <t>75367002</t>
        </is>
      </c>
      <c r="C4" t="inlineStr">
        <is>
          <t>Patient Monitor</t>
        </is>
      </c>
      <c r="D4">
        <f t="array" ref="D4">_xlfn._xlws.FILTER('list medical devices'!A:A,'list medical devices'!B:B='alarm conditions'!C4)</f>
        <v/>
      </c>
    </row>
    <row r="5">
      <c r="A5" t="inlineStr">
        <is>
          <t>High Blood Pressure</t>
        </is>
      </c>
      <c r="B5" t="inlineStr">
        <is>
          <t>271649006</t>
        </is>
      </c>
      <c r="C5" t="inlineStr">
        <is>
          <t>Patient Monitor</t>
        </is>
      </c>
      <c r="D5">
        <f t="array" ref="D5">_xlfn._xlws.FILTER('list medical devices'!A:A,'list medical devices'!B:B='alarm conditions'!C5)</f>
        <v/>
      </c>
      <c r="F5" t="n">
        <v>180</v>
      </c>
      <c r="G5" t="n">
        <v>110</v>
      </c>
    </row>
    <row r="6">
      <c r="A6" t="inlineStr">
        <is>
          <t>Low Blood Pressure</t>
        </is>
      </c>
      <c r="B6" t="inlineStr">
        <is>
          <t>271650006</t>
        </is>
      </c>
      <c r="C6" t="inlineStr">
        <is>
          <t>Patient Monitor</t>
        </is>
      </c>
      <c r="D6">
        <f t="array" ref="D6">_xlfn._xlws.FILTER('list medical devices'!A:A,'list medical devices'!B:B='alarm conditions'!C6)</f>
        <v/>
      </c>
      <c r="F6" t="n">
        <v>90</v>
      </c>
      <c r="G6" t="n">
        <v>60</v>
      </c>
      <c r="H6" t="n">
        <v>65</v>
      </c>
    </row>
    <row r="7">
      <c r="A7" t="inlineStr">
        <is>
          <t>Tachycardia</t>
        </is>
      </c>
      <c r="B7" t="inlineStr">
        <is>
          <t>386661006</t>
        </is>
      </c>
      <c r="C7" t="inlineStr">
        <is>
          <t>Patient Monitor</t>
        </is>
      </c>
      <c r="D7">
        <f t="array" ref="D7">_xlfn._xlws.FILTER('list medical devices'!A:A,'list medical devices'!B:B='alarm conditions'!C7)</f>
        <v/>
      </c>
      <c r="I7" t="n">
        <v>110</v>
      </c>
    </row>
    <row r="8">
      <c r="A8" t="inlineStr">
        <is>
          <t>Bradycardia</t>
        </is>
      </c>
      <c r="B8" t="inlineStr">
        <is>
          <t>48867003</t>
        </is>
      </c>
      <c r="C8" t="inlineStr">
        <is>
          <t>Patient Monitor</t>
        </is>
      </c>
      <c r="D8">
        <f t="array" ref="D8">_xlfn._xlws.FILTER('list medical devices'!A:A,'list medical devices'!B:B='alarm conditions'!C8)</f>
        <v/>
      </c>
      <c r="I8" t="n">
        <v>60</v>
      </c>
    </row>
    <row r="9">
      <c r="A9" t="inlineStr">
        <is>
          <t>Apnea</t>
        </is>
      </c>
      <c r="B9" t="inlineStr">
        <is>
          <t>1023001</t>
        </is>
      </c>
      <c r="C9" t="inlineStr">
        <is>
          <t>Mechanical ventilator</t>
        </is>
      </c>
      <c r="D9">
        <f t="array" ref="D9">_xlfn._xlws.FILTER('list medical devices'!A:A,'list medical devices'!B:B='alarm conditions'!C9)</f>
        <v/>
      </c>
      <c r="K9" t="n">
        <v>0</v>
      </c>
    </row>
    <row r="10">
      <c r="A10" t="inlineStr">
        <is>
          <t>High Airway Pressure</t>
        </is>
      </c>
      <c r="B10" t="inlineStr">
        <is>
          <t>704626004</t>
        </is>
      </c>
      <c r="C10" t="inlineStr">
        <is>
          <t>Mechanical ventilator</t>
        </is>
      </c>
      <c r="D10">
        <f t="array" ref="D10">_xlfn._xlws.FILTER('list medical devices'!A:A,'list medical devices'!B:B='alarm conditions'!C10)</f>
        <v/>
      </c>
      <c r="L10" t="n">
        <v>40</v>
      </c>
    </row>
    <row r="11">
      <c r="A11" t="inlineStr">
        <is>
          <t>Low Airway Pressure</t>
        </is>
      </c>
      <c r="B11" t="inlineStr">
        <is>
          <t>704626004</t>
        </is>
      </c>
      <c r="C11" t="inlineStr">
        <is>
          <t>Mechanical ventilator</t>
        </is>
      </c>
      <c r="D11">
        <f t="array" ref="D11">_xlfn._xlws.FILTER('list medical devices'!A:A,'list medical devices'!B:B='alarm conditions'!C11)</f>
        <v/>
      </c>
      <c r="L11" t="n">
        <v>7</v>
      </c>
    </row>
    <row r="12">
      <c r="A12" t="inlineStr">
        <is>
          <t>Ventilator Disconnect</t>
        </is>
      </c>
      <c r="B12" t="inlineStr">
        <is>
          <t>704626004</t>
        </is>
      </c>
      <c r="C12" t="inlineStr">
        <is>
          <t>Mechanical ventilator</t>
        </is>
      </c>
      <c r="D12">
        <f t="array" ref="D12">_xlfn._xlws.FILTER('list medical devices'!A:A,'list medical devices'!B:B='alarm conditions'!C12)</f>
        <v/>
      </c>
      <c r="M12" t="n">
        <v>0</v>
      </c>
    </row>
    <row r="13">
      <c r="A13" t="inlineStr">
        <is>
          <t>Infusion Pump Occlusion</t>
        </is>
      </c>
      <c r="B13" t="inlineStr">
        <is>
          <t>704626004</t>
        </is>
      </c>
      <c r="C13" t="inlineStr">
        <is>
          <t>Infusion Pump</t>
        </is>
      </c>
      <c r="D13">
        <f t="array" ref="D13">_xlfn._xlws.FILTER('list medical devices'!A:A,'list medical devices'!B:B='alarm conditions'!C13)</f>
        <v/>
      </c>
      <c r="N13" t="n">
        <v>500</v>
      </c>
    </row>
    <row r="14">
      <c r="A14" t="inlineStr">
        <is>
          <t>Empty Syringe/Reservoir</t>
        </is>
      </c>
      <c r="B14" t="inlineStr">
        <is>
          <t>704626004</t>
        </is>
      </c>
      <c r="C14" t="inlineStr">
        <is>
          <t>Infusion Pump</t>
        </is>
      </c>
      <c r="D14">
        <f t="array" ref="D14">_xlfn._xlws.FILTER('list medical devices'!A:A,'list medical devices'!B:B='alarm conditions'!C14)</f>
        <v/>
      </c>
      <c r="O14" t="n">
        <v>0</v>
      </c>
    </row>
    <row r="15">
      <c r="A15" t="inlineStr">
        <is>
          <t>High Temperature</t>
        </is>
      </c>
      <c r="B15" t="inlineStr">
        <is>
          <t>386661003</t>
        </is>
      </c>
      <c r="C15" t="inlineStr">
        <is>
          <t>Patient Monitor</t>
        </is>
      </c>
      <c r="D15">
        <f t="array" ref="D15">_xlfn._xlws.FILTER('list medical devices'!A:A,'list medical devices'!B:B='alarm conditions'!C15)</f>
        <v/>
      </c>
      <c r="J15" t="n">
        <v>38.5</v>
      </c>
    </row>
    <row r="16">
      <c r="A16" t="inlineStr">
        <is>
          <t>Low Temperature</t>
        </is>
      </c>
      <c r="B16" t="inlineStr">
        <is>
          <t>271442005</t>
        </is>
      </c>
      <c r="C16" t="inlineStr">
        <is>
          <t>Patient Monitor</t>
        </is>
      </c>
      <c r="D16">
        <f t="array" ref="D16">_xlfn._xlws.FILTER('list medical devices'!A:A,'list medical devices'!B:B='alarm conditions'!C16)</f>
        <v/>
      </c>
      <c r="J16" t="n">
        <v>35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Bed ID</t>
        </is>
      </c>
      <c r="B1" s="3" t="inlineStr">
        <is>
          <t>Device</t>
        </is>
      </c>
    </row>
    <row r="2">
      <c r="A2" t="n">
        <v>5</v>
      </c>
      <c r="B2" t="inlineStr">
        <is>
          <t>Patient Monitor</t>
        </is>
      </c>
    </row>
    <row r="3">
      <c r="A3" t="n">
        <v>6</v>
      </c>
      <c r="B3" t="inlineStr">
        <is>
          <t>Patient Monitor</t>
        </is>
      </c>
    </row>
    <row r="4">
      <c r="A4" t="n">
        <v>7</v>
      </c>
      <c r="B4" t="inlineStr">
        <is>
          <t>Mechanical ventilator</t>
        </is>
      </c>
    </row>
    <row r="5">
      <c r="A5" t="n">
        <v>7</v>
      </c>
      <c r="B5" t="inlineStr">
        <is>
          <t>Patient Monitor</t>
        </is>
      </c>
    </row>
    <row r="6">
      <c r="A6" t="n">
        <v>7</v>
      </c>
      <c r="B6" t="inlineStr">
        <is>
          <t>Infusion Pump</t>
        </is>
      </c>
    </row>
    <row r="7">
      <c r="A7" t="n">
        <v>8</v>
      </c>
      <c r="B7" t="inlineStr">
        <is>
          <t>Mechanical ventilator</t>
        </is>
      </c>
    </row>
    <row r="8">
      <c r="A8" t="n">
        <v>8</v>
      </c>
      <c r="B8" t="inlineStr">
        <is>
          <t>Patient Monitor</t>
        </is>
      </c>
    </row>
    <row r="9">
      <c r="A9" t="n">
        <v>8</v>
      </c>
      <c r="B9" t="inlineStr">
        <is>
          <t>Infusion Pump</t>
        </is>
      </c>
    </row>
    <row r="10">
      <c r="A10" t="n">
        <v>9</v>
      </c>
      <c r="B10" t="inlineStr">
        <is>
          <t>Mechanical ventilator</t>
        </is>
      </c>
    </row>
    <row r="11">
      <c r="A11" t="n">
        <v>9</v>
      </c>
      <c r="B11" t="inlineStr">
        <is>
          <t>Patient Monitor</t>
        </is>
      </c>
    </row>
    <row r="12">
      <c r="A12" t="n">
        <v>9</v>
      </c>
      <c r="B12" t="inlineStr">
        <is>
          <t>Infusion Pump</t>
        </is>
      </c>
    </row>
    <row r="13">
      <c r="A13" t="n">
        <v>4</v>
      </c>
      <c r="B13" t="inlineStr">
        <is>
          <t>Patient Monitor</t>
        </is>
      </c>
    </row>
    <row r="14">
      <c r="A14" t="n">
        <v>4</v>
      </c>
      <c r="B14" t="inlineStr">
        <is>
          <t>Infusion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Chiara Masci</dc:creator>
  <dcterms:created xmlns:dcterms="http://purl.org/dc/terms/" xmlns:xsi="http://www.w3.org/2001/XMLSchema-instance" xsi:type="dcterms:W3CDTF">2025-12-01T10:43:11Z</dcterms:created>
  <dcterms:modified xmlns:dcterms="http://purl.org/dc/terms/" xmlns:xsi="http://www.w3.org/2001/XMLSchema-instance" xsi:type="dcterms:W3CDTF">2025-12-01T16:13:40Z</dcterms:modified>
  <cp:lastModifiedBy>Chiara Masci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0x0101006C0AC85DF5DC514C867FC80735CAED16</vt:lpwstr>
  </property>
</Properties>
</file>